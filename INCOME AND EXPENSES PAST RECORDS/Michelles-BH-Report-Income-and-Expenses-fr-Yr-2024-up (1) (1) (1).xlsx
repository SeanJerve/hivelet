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NEW FILES\"/>
    </mc:Choice>
  </mc:AlternateContent>
  <xr:revisionPtr revIDLastSave="0" documentId="8_{00E0BC47-7D6C-42DD-8E55-D990748FB272}" xr6:coauthVersionLast="47" xr6:coauthVersionMax="47" xr10:uidLastSave="{00000000-0000-0000-0000-000000000000}"/>
  <bookViews>
    <workbookView xWindow="-120" yWindow="-120" windowWidth="29040" windowHeight="15690" xr2:uid="{00000000-000D-0000-FFFF-FFFF00000000}"/>
  </bookViews>
  <sheets>
    <sheet name="Monthly Income" sheetId="1" r:id="rId1"/>
    <sheet name="Monthly Expenses" sheetId="10" r:id="rId2"/>
    <sheet name="STATEMENT OF LOAN" sheetId="11" r:id="rId3"/>
  </sheets>
  <definedNames>
    <definedName name="_xlnm.Print_Area" localSheetId="0">'Monthly Income'!$A$1:$L$1481</definedName>
    <definedName name="_xlnm.Print_Titles" localSheetId="0">'Monthly Income'!$1:$1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85" i="10" l="1"/>
  <c r="L1384" i="10"/>
  <c r="L1383" i="10"/>
  <c r="L1381" i="10"/>
  <c r="L1380" i="10"/>
  <c r="L1379" i="10"/>
  <c r="L1378" i="10"/>
  <c r="L1377" i="10"/>
  <c r="L1376" i="10"/>
  <c r="L1375" i="10"/>
  <c r="L1374" i="10"/>
  <c r="L1373" i="10"/>
  <c r="K1385" i="10"/>
  <c r="K1384" i="10"/>
  <c r="K1383" i="10"/>
  <c r="K1382" i="10"/>
  <c r="K1380" i="10"/>
  <c r="K1378" i="10"/>
  <c r="K1375" i="10"/>
  <c r="G1406" i="10"/>
  <c r="F1406" i="10"/>
  <c r="D1406" i="10"/>
  <c r="C1406" i="10"/>
  <c r="I1406" i="10" s="1"/>
  <c r="F1437" i="1"/>
  <c r="E1459" i="1" s="1"/>
  <c r="H1437" i="1"/>
  <c r="G1459" i="1" s="1"/>
  <c r="F1438" i="1"/>
  <c r="H1438" i="1"/>
  <c r="F1439" i="1"/>
  <c r="H1439" i="1"/>
  <c r="J1439" i="1" s="1"/>
  <c r="J1459" i="1" s="1"/>
  <c r="F1440" i="1"/>
  <c r="H1440" i="1"/>
  <c r="F1443" i="1"/>
  <c r="H1443" i="1"/>
  <c r="F1445" i="1"/>
  <c r="H1445" i="1"/>
  <c r="F1448" i="1"/>
  <c r="H1448" i="1"/>
  <c r="F1449" i="1"/>
  <c r="H1449" i="1"/>
  <c r="F1450" i="1"/>
  <c r="H1450" i="1"/>
  <c r="F1451" i="1"/>
  <c r="H1451" i="1"/>
  <c r="F1452" i="1"/>
  <c r="H1452" i="1"/>
  <c r="F1453" i="1"/>
  <c r="F1454" i="1"/>
  <c r="H1454" i="1"/>
  <c r="F1455" i="1"/>
  <c r="H1455" i="1"/>
  <c r="F1456" i="1"/>
  <c r="H1456" i="1"/>
  <c r="F1457" i="1"/>
  <c r="H1457" i="1"/>
  <c r="F1458" i="1"/>
  <c r="H1458" i="1"/>
  <c r="I1459" i="1"/>
  <c r="I1474" i="1" s="1"/>
  <c r="L1459" i="1"/>
  <c r="H1461" i="1"/>
  <c r="H1466" i="1" s="1"/>
  <c r="H1462" i="1"/>
  <c r="H1463" i="1"/>
  <c r="H1465" i="1"/>
  <c r="E1466" i="1"/>
  <c r="G1466" i="1"/>
  <c r="I1466" i="1"/>
  <c r="J1466" i="1"/>
  <c r="L1466" i="1"/>
  <c r="H1470" i="1"/>
  <c r="H1472" i="1"/>
  <c r="E1473" i="1"/>
  <c r="G1473" i="1"/>
  <c r="I1473" i="1"/>
  <c r="J1473" i="1"/>
  <c r="L1473" i="1"/>
  <c r="H1476" i="1"/>
  <c r="H1477" i="1"/>
  <c r="J1477" i="1"/>
  <c r="E1478" i="1"/>
  <c r="F1478" i="1"/>
  <c r="F1479" i="1" s="1"/>
  <c r="G1478" i="1"/>
  <c r="I1478" i="1"/>
  <c r="C63" i="11"/>
  <c r="H1412" i="1"/>
  <c r="F1412" i="1"/>
  <c r="F1391" i="1"/>
  <c r="F1413" i="1" s="1"/>
  <c r="H1391" i="1"/>
  <c r="F1392" i="1"/>
  <c r="H1392" i="1"/>
  <c r="F1393" i="1"/>
  <c r="H1393" i="1"/>
  <c r="J1393" i="1" s="1"/>
  <c r="J1413" i="1" s="1"/>
  <c r="F1394" i="1"/>
  <c r="H1394" i="1"/>
  <c r="F1397" i="1"/>
  <c r="H1397" i="1"/>
  <c r="F1399" i="1"/>
  <c r="H1399" i="1"/>
  <c r="F1402" i="1"/>
  <c r="H1402" i="1"/>
  <c r="F1403" i="1"/>
  <c r="H1403" i="1"/>
  <c r="F1404" i="1"/>
  <c r="H1404" i="1"/>
  <c r="F1405" i="1"/>
  <c r="H1405" i="1"/>
  <c r="F1406" i="1"/>
  <c r="H1406" i="1"/>
  <c r="F1407" i="1"/>
  <c r="F1408" i="1"/>
  <c r="H1408" i="1"/>
  <c r="F1409" i="1"/>
  <c r="H1409" i="1"/>
  <c r="F1410" i="1"/>
  <c r="H1410" i="1"/>
  <c r="F1411" i="1"/>
  <c r="H1411" i="1"/>
  <c r="E1413" i="1"/>
  <c r="G1413" i="1"/>
  <c r="I1413" i="1"/>
  <c r="L1413" i="1"/>
  <c r="H1415" i="1"/>
  <c r="H1416" i="1"/>
  <c r="H1417" i="1"/>
  <c r="H1419" i="1"/>
  <c r="E1420" i="1"/>
  <c r="G1420" i="1"/>
  <c r="I1420" i="1"/>
  <c r="J1420" i="1"/>
  <c r="L1420" i="1"/>
  <c r="H1424" i="1"/>
  <c r="H1426" i="1"/>
  <c r="H1427" i="1" s="1"/>
  <c r="E1427" i="1"/>
  <c r="G1427" i="1"/>
  <c r="I1427" i="1"/>
  <c r="J1427" i="1"/>
  <c r="L1427" i="1"/>
  <c r="H1430" i="1"/>
  <c r="H1431" i="1"/>
  <c r="J1431" i="1"/>
  <c r="E1432" i="1"/>
  <c r="F1432" i="1"/>
  <c r="F1433" i="1" s="1"/>
  <c r="G1432" i="1"/>
  <c r="H1432" i="1"/>
  <c r="I1432" i="1"/>
  <c r="J1432" i="1"/>
  <c r="C55" i="11"/>
  <c r="C56" i="11" s="1"/>
  <c r="C57" i="11" s="1"/>
  <c r="C58" i="11" s="1"/>
  <c r="C59" i="11" s="1"/>
  <c r="C60" i="11" s="1"/>
  <c r="C61" i="11" s="1"/>
  <c r="C62" i="11" s="1"/>
  <c r="C14" i="11"/>
  <c r="K1330" i="10"/>
  <c r="L1330" i="10" s="1"/>
  <c r="K1329" i="10"/>
  <c r="L1329" i="10" s="1"/>
  <c r="K1328" i="10"/>
  <c r="K1331" i="10"/>
  <c r="K1326" i="10"/>
  <c r="K1324" i="10"/>
  <c r="K1321" i="10"/>
  <c r="L1331" i="10"/>
  <c r="L1327" i="10"/>
  <c r="L1326" i="10"/>
  <c r="L1325" i="10"/>
  <c r="L1324" i="10"/>
  <c r="L1323" i="10"/>
  <c r="L1322" i="10"/>
  <c r="L1321" i="10"/>
  <c r="L1320" i="10"/>
  <c r="L1319" i="10"/>
  <c r="G1366" i="10"/>
  <c r="F1366" i="10"/>
  <c r="E1366" i="10"/>
  <c r="D1366" i="10"/>
  <c r="C1366" i="10"/>
  <c r="I1366" i="10" s="1"/>
  <c r="K1273" i="10"/>
  <c r="C54" i="11"/>
  <c r="C53" i="11"/>
  <c r="C52" i="11"/>
  <c r="C51" i="11"/>
  <c r="C13" i="11"/>
  <c r="L1266" i="10"/>
  <c r="K1275" i="10"/>
  <c r="K1274" i="10"/>
  <c r="K1272" i="10"/>
  <c r="K1270" i="10"/>
  <c r="K1269" i="10"/>
  <c r="K1268" i="10"/>
  <c r="K1265" i="10"/>
  <c r="G1308" i="10"/>
  <c r="E1308" i="10"/>
  <c r="D1308" i="10"/>
  <c r="C1308" i="10"/>
  <c r="K1386" i="10" l="1"/>
  <c r="F1459" i="1"/>
  <c r="H1473" i="1"/>
  <c r="J1428" i="1"/>
  <c r="H1420" i="1"/>
  <c r="I1479" i="1"/>
  <c r="H1459" i="1"/>
  <c r="H1474" i="1" s="1"/>
  <c r="H1479" i="1" s="1"/>
  <c r="G1474" i="1"/>
  <c r="H1413" i="1"/>
  <c r="H1428" i="1" s="1"/>
  <c r="H1433" i="1" s="1"/>
  <c r="E1474" i="1"/>
  <c r="G1428" i="1"/>
  <c r="H1478" i="1"/>
  <c r="J1478" i="1" s="1"/>
  <c r="J1474" i="1"/>
  <c r="I1428" i="1"/>
  <c r="I1433" i="1" s="1"/>
  <c r="E1428" i="1"/>
  <c r="D1434" i="1" s="1"/>
  <c r="K1332" i="10"/>
  <c r="I1308" i="10"/>
  <c r="K1276" i="10"/>
  <c r="F1361" i="1" l="1"/>
  <c r="I1386" i="1"/>
  <c r="G1386" i="1"/>
  <c r="F1386" i="1"/>
  <c r="F1387" i="1" s="1"/>
  <c r="E1386" i="1"/>
  <c r="H1385" i="1"/>
  <c r="H1384" i="1"/>
  <c r="L1381" i="1"/>
  <c r="J1381" i="1"/>
  <c r="I1381" i="1"/>
  <c r="H1381" i="1"/>
  <c r="G1381" i="1"/>
  <c r="E1381" i="1"/>
  <c r="H1380" i="1"/>
  <c r="H1379" i="1"/>
  <c r="H1378" i="1"/>
  <c r="L1374" i="1"/>
  <c r="J1374" i="1"/>
  <c r="I1374" i="1"/>
  <c r="G1374" i="1"/>
  <c r="E1374" i="1"/>
  <c r="H1373" i="1"/>
  <c r="H1371" i="1"/>
  <c r="H1370" i="1"/>
  <c r="H1369" i="1"/>
  <c r="L1367" i="1"/>
  <c r="I1367" i="1"/>
  <c r="G1367" i="1"/>
  <c r="E1367" i="1"/>
  <c r="H1365" i="1"/>
  <c r="F1365" i="1"/>
  <c r="H1364" i="1"/>
  <c r="F1364" i="1"/>
  <c r="H1363" i="1"/>
  <c r="F1363" i="1"/>
  <c r="H1362" i="1"/>
  <c r="F1362" i="1"/>
  <c r="H1360" i="1"/>
  <c r="F1360" i="1"/>
  <c r="H1359" i="1"/>
  <c r="F1359" i="1"/>
  <c r="H1358" i="1"/>
  <c r="F1358" i="1"/>
  <c r="H1357" i="1"/>
  <c r="F1357" i="1"/>
  <c r="H1356" i="1"/>
  <c r="F1356" i="1"/>
  <c r="H1353" i="1"/>
  <c r="F1353" i="1"/>
  <c r="H1351" i="1"/>
  <c r="F1351" i="1"/>
  <c r="H1348" i="1"/>
  <c r="F1348" i="1"/>
  <c r="H1347" i="1"/>
  <c r="J1347" i="1" s="1"/>
  <c r="J1367" i="1" s="1"/>
  <c r="J1382" i="1" s="1"/>
  <c r="F1347" i="1"/>
  <c r="H1346" i="1"/>
  <c r="F1346" i="1"/>
  <c r="H1345" i="1"/>
  <c r="F1345" i="1"/>
  <c r="C47" i="11"/>
  <c r="C48" i="11" s="1"/>
  <c r="C49" i="11" s="1"/>
  <c r="C50" i="11" s="1"/>
  <c r="C12" i="11"/>
  <c r="L1215" i="10"/>
  <c r="L1263" i="10" s="1"/>
  <c r="K1227" i="10"/>
  <c r="K1226" i="10"/>
  <c r="K1225" i="10"/>
  <c r="K1224" i="10"/>
  <c r="K1222" i="10"/>
  <c r="K1220" i="10"/>
  <c r="K1217" i="10"/>
  <c r="G1256" i="10"/>
  <c r="E1256" i="10"/>
  <c r="D1256" i="10"/>
  <c r="C1256" i="10"/>
  <c r="I1256" i="10" s="1"/>
  <c r="H1310" i="1"/>
  <c r="F1310" i="1"/>
  <c r="I1339" i="1"/>
  <c r="G1339" i="1"/>
  <c r="F1339" i="1"/>
  <c r="F1340" i="1" s="1"/>
  <c r="E1339" i="1"/>
  <c r="H1338" i="1"/>
  <c r="J1338" i="1" s="1"/>
  <c r="H1337" i="1"/>
  <c r="H1339" i="1" s="1"/>
  <c r="J1339" i="1" s="1"/>
  <c r="L1334" i="1"/>
  <c r="J1334" i="1"/>
  <c r="I1334" i="1"/>
  <c r="G1334" i="1"/>
  <c r="E1334" i="1"/>
  <c r="H1333" i="1"/>
  <c r="H1332" i="1"/>
  <c r="H1331" i="1"/>
  <c r="L1327" i="1"/>
  <c r="J1327" i="1"/>
  <c r="I1327" i="1"/>
  <c r="G1327" i="1"/>
  <c r="E1327" i="1"/>
  <c r="H1326" i="1"/>
  <c r="H1324" i="1"/>
  <c r="H1323" i="1"/>
  <c r="H1322" i="1"/>
  <c r="H1327" i="1" s="1"/>
  <c r="L1320" i="1"/>
  <c r="I1320" i="1"/>
  <c r="G1320" i="1"/>
  <c r="E1320" i="1"/>
  <c r="F1319" i="1"/>
  <c r="H1318" i="1"/>
  <c r="F1318" i="1"/>
  <c r="H1317" i="1"/>
  <c r="F1317" i="1"/>
  <c r="H1316" i="1"/>
  <c r="F1316" i="1"/>
  <c r="H1315" i="1"/>
  <c r="F1315" i="1"/>
  <c r="H1313" i="1"/>
  <c r="F1313" i="1"/>
  <c r="H1312" i="1"/>
  <c r="F1312" i="1"/>
  <c r="H1311" i="1"/>
  <c r="F1311" i="1"/>
  <c r="H1309" i="1"/>
  <c r="F1309" i="1"/>
  <c r="H1308" i="1"/>
  <c r="F1308" i="1"/>
  <c r="H1306" i="1"/>
  <c r="F1306" i="1"/>
  <c r="H1304" i="1"/>
  <c r="F1304" i="1"/>
  <c r="H1301" i="1"/>
  <c r="F1301" i="1"/>
  <c r="H1300" i="1"/>
  <c r="J1300" i="1" s="1"/>
  <c r="J1320" i="1" s="1"/>
  <c r="J1335" i="1" s="1"/>
  <c r="F1300" i="1"/>
  <c r="H1299" i="1"/>
  <c r="F1299" i="1"/>
  <c r="H1298" i="1"/>
  <c r="F1298" i="1"/>
  <c r="H1269" i="1"/>
  <c r="F1269" i="1"/>
  <c r="F1251" i="1"/>
  <c r="H1251" i="1"/>
  <c r="F1252" i="1"/>
  <c r="H1252" i="1"/>
  <c r="F1253" i="1"/>
  <c r="H1253" i="1"/>
  <c r="J1253" i="1"/>
  <c r="J1273" i="1" s="1"/>
  <c r="F1254" i="1"/>
  <c r="H1254" i="1"/>
  <c r="F1257" i="1"/>
  <c r="H1257" i="1"/>
  <c r="F1259" i="1"/>
  <c r="H1259" i="1"/>
  <c r="F1261" i="1"/>
  <c r="H1261" i="1"/>
  <c r="F1262" i="1"/>
  <c r="H1262" i="1"/>
  <c r="F1263" i="1"/>
  <c r="F1273" i="1" s="1"/>
  <c r="H1263" i="1"/>
  <c r="F1264" i="1"/>
  <c r="H1264" i="1"/>
  <c r="F1265" i="1"/>
  <c r="H1265" i="1"/>
  <c r="F1266" i="1"/>
  <c r="H1266" i="1"/>
  <c r="F1268" i="1"/>
  <c r="H1268" i="1"/>
  <c r="F1270" i="1"/>
  <c r="H1270" i="1"/>
  <c r="F1271" i="1"/>
  <c r="H1271" i="1"/>
  <c r="F1272" i="1"/>
  <c r="E1273" i="1"/>
  <c r="G1273" i="1"/>
  <c r="I1273" i="1"/>
  <c r="L1273" i="1"/>
  <c r="H1275" i="1"/>
  <c r="H1276" i="1"/>
  <c r="H1277" i="1"/>
  <c r="H1280" i="1" s="1"/>
  <c r="H1279" i="1"/>
  <c r="E1280" i="1"/>
  <c r="G1280" i="1"/>
  <c r="I1280" i="1"/>
  <c r="I1288" i="1" s="1"/>
  <c r="I1293" i="1" s="1"/>
  <c r="J1280" i="1"/>
  <c r="L1280" i="1"/>
  <c r="H1284" i="1"/>
  <c r="H1285" i="1"/>
  <c r="H1286" i="1"/>
  <c r="E1287" i="1"/>
  <c r="G1287" i="1"/>
  <c r="H1287" i="1"/>
  <c r="I1287" i="1"/>
  <c r="J1287" i="1"/>
  <c r="L1287" i="1"/>
  <c r="E1288" i="1"/>
  <c r="H1290" i="1"/>
  <c r="H1291" i="1"/>
  <c r="J1291" i="1" s="1"/>
  <c r="E1292" i="1"/>
  <c r="F1292" i="1"/>
  <c r="G1292" i="1"/>
  <c r="H1292" i="1"/>
  <c r="J1292" i="1" s="1"/>
  <c r="I1292" i="1"/>
  <c r="F1293" i="1"/>
  <c r="C11" i="11"/>
  <c r="C46" i="11"/>
  <c r="C45" i="11"/>
  <c r="C44" i="11"/>
  <c r="C43" i="11"/>
  <c r="K1184" i="10"/>
  <c r="K1183" i="10"/>
  <c r="K1182" i="10"/>
  <c r="K1181" i="10"/>
  <c r="K1179" i="10"/>
  <c r="K1177" i="10"/>
  <c r="K1174" i="10"/>
  <c r="K1173" i="10"/>
  <c r="G1205" i="10"/>
  <c r="D1205" i="10"/>
  <c r="C1205" i="10"/>
  <c r="F1204" i="1"/>
  <c r="H1204" i="1"/>
  <c r="F1205" i="1"/>
  <c r="H1205" i="1"/>
  <c r="F1206" i="1"/>
  <c r="H1206" i="1"/>
  <c r="J1206" i="1" s="1"/>
  <c r="J1226" i="1" s="1"/>
  <c r="F1207" i="1"/>
  <c r="H1207" i="1"/>
  <c r="F1210" i="1"/>
  <c r="H1210" i="1"/>
  <c r="F1212" i="1"/>
  <c r="H1212" i="1"/>
  <c r="F1214" i="1"/>
  <c r="H1214" i="1"/>
  <c r="F1215" i="1"/>
  <c r="H1215" i="1"/>
  <c r="F1216" i="1"/>
  <c r="H1216" i="1"/>
  <c r="F1217" i="1"/>
  <c r="H1217" i="1"/>
  <c r="F1218" i="1"/>
  <c r="H1218" i="1"/>
  <c r="F1219" i="1"/>
  <c r="H1219" i="1"/>
  <c r="F1220" i="1"/>
  <c r="H1220" i="1"/>
  <c r="F1221" i="1"/>
  <c r="H1221" i="1"/>
  <c r="F1223" i="1"/>
  <c r="H1223" i="1"/>
  <c r="F1224" i="1"/>
  <c r="H1224" i="1"/>
  <c r="F1225" i="1"/>
  <c r="E1226" i="1"/>
  <c r="G1226" i="1"/>
  <c r="G1241" i="1" s="1"/>
  <c r="I1226" i="1"/>
  <c r="I1241" i="1" s="1"/>
  <c r="I1246" i="1" s="1"/>
  <c r="L1226" i="1"/>
  <c r="H1228" i="1"/>
  <c r="H1229" i="1"/>
  <c r="H1230" i="1"/>
  <c r="H1232" i="1"/>
  <c r="E1233" i="1"/>
  <c r="G1233" i="1"/>
  <c r="I1233" i="1"/>
  <c r="J1233" i="1"/>
  <c r="L1233" i="1"/>
  <c r="H1237" i="1"/>
  <c r="H1238" i="1"/>
  <c r="H1239" i="1"/>
  <c r="E1240" i="1"/>
  <c r="G1240" i="1"/>
  <c r="I1240" i="1"/>
  <c r="J1240" i="1"/>
  <c r="L1240" i="1"/>
  <c r="H1243" i="1"/>
  <c r="H1244" i="1"/>
  <c r="J1244" i="1" s="1"/>
  <c r="E1245" i="1"/>
  <c r="F1245" i="1"/>
  <c r="F1246" i="1" s="1"/>
  <c r="G1245" i="1"/>
  <c r="I1245" i="1"/>
  <c r="C42" i="11"/>
  <c r="C41" i="11"/>
  <c r="C40" i="11"/>
  <c r="C39" i="11"/>
  <c r="C10" i="11"/>
  <c r="K1151" i="10"/>
  <c r="K1150" i="10"/>
  <c r="K1149" i="10"/>
  <c r="K1148" i="10"/>
  <c r="K1146" i="10"/>
  <c r="K1144" i="10"/>
  <c r="K1141" i="10"/>
  <c r="K1145" i="10"/>
  <c r="G1167" i="10"/>
  <c r="D1167" i="10"/>
  <c r="C1167" i="10"/>
  <c r="K1124" i="10"/>
  <c r="K1122" i="10"/>
  <c r="K1121" i="10"/>
  <c r="K1119" i="10"/>
  <c r="K1118" i="10"/>
  <c r="L1118" i="10" s="1"/>
  <c r="L1145" i="10" s="1"/>
  <c r="L1178" i="10" s="1"/>
  <c r="L1221" i="10" s="1"/>
  <c r="L1269" i="10" s="1"/>
  <c r="K1117" i="10"/>
  <c r="L1123" i="10"/>
  <c r="L1150" i="10" s="1"/>
  <c r="L1120" i="10"/>
  <c r="L1147" i="10" s="1"/>
  <c r="L1115" i="10"/>
  <c r="L1142" i="10" s="1"/>
  <c r="L1112" i="10"/>
  <c r="L1139" i="10" s="1"/>
  <c r="K1114" i="10"/>
  <c r="K1116" i="10"/>
  <c r="K1113" i="10"/>
  <c r="G1133" i="10"/>
  <c r="D1133" i="10"/>
  <c r="C1133" i="10"/>
  <c r="H1177" i="1"/>
  <c r="F1177" i="1"/>
  <c r="F1157" i="1"/>
  <c r="H1157" i="1"/>
  <c r="F1158" i="1"/>
  <c r="H1158" i="1"/>
  <c r="F1159" i="1"/>
  <c r="H1159" i="1"/>
  <c r="J1159" i="1" s="1"/>
  <c r="J1179" i="1" s="1"/>
  <c r="F1160" i="1"/>
  <c r="H1160" i="1"/>
  <c r="F1161" i="1"/>
  <c r="H1161" i="1"/>
  <c r="F1163" i="1"/>
  <c r="H1163" i="1"/>
  <c r="F1165" i="1"/>
  <c r="H1165" i="1"/>
  <c r="F1167" i="1"/>
  <c r="H1167" i="1"/>
  <c r="F1168" i="1"/>
  <c r="H1168" i="1"/>
  <c r="F1169" i="1"/>
  <c r="H1169" i="1"/>
  <c r="F1170" i="1"/>
  <c r="H1170" i="1"/>
  <c r="F1171" i="1"/>
  <c r="H1171" i="1"/>
  <c r="F1172" i="1"/>
  <c r="H1172" i="1"/>
  <c r="F1173" i="1"/>
  <c r="H1173" i="1"/>
  <c r="F1174" i="1"/>
  <c r="H1174" i="1"/>
  <c r="F1175" i="1"/>
  <c r="H1175" i="1"/>
  <c r="F1176" i="1"/>
  <c r="H1176" i="1"/>
  <c r="F1178" i="1"/>
  <c r="E1179" i="1"/>
  <c r="G1179" i="1"/>
  <c r="I1179" i="1"/>
  <c r="L1179" i="1"/>
  <c r="H1181" i="1"/>
  <c r="H1182" i="1"/>
  <c r="H1183" i="1"/>
  <c r="H1184" i="1"/>
  <c r="H1185" i="1"/>
  <c r="E1186" i="1"/>
  <c r="G1186" i="1"/>
  <c r="I1186" i="1"/>
  <c r="J1186" i="1"/>
  <c r="L1186" i="1"/>
  <c r="H1190" i="1"/>
  <c r="H1193" i="1" s="1"/>
  <c r="H1191" i="1"/>
  <c r="H1192" i="1"/>
  <c r="E1193" i="1"/>
  <c r="G1193" i="1"/>
  <c r="I1193" i="1"/>
  <c r="J1193" i="1"/>
  <c r="L1193" i="1"/>
  <c r="H1196" i="1"/>
  <c r="H1197" i="1"/>
  <c r="J1197" i="1" s="1"/>
  <c r="E1198" i="1"/>
  <c r="F1198" i="1"/>
  <c r="G1198" i="1"/>
  <c r="I1198" i="1"/>
  <c r="C9" i="11"/>
  <c r="C35" i="11"/>
  <c r="C36" i="11" s="1"/>
  <c r="C37" i="11" s="1"/>
  <c r="C38" i="11" s="1"/>
  <c r="C34" i="11"/>
  <c r="C27" i="11"/>
  <c r="C26" i="11"/>
  <c r="C25" i="11"/>
  <c r="C24" i="11"/>
  <c r="C23" i="11"/>
  <c r="C8" i="11"/>
  <c r="C7" i="11"/>
  <c r="K1091" i="10"/>
  <c r="K1083" i="10"/>
  <c r="K1089" i="10"/>
  <c r="K1088" i="10"/>
  <c r="K1086" i="10"/>
  <c r="K1084" i="10"/>
  <c r="K1081" i="10"/>
  <c r="K1080" i="10"/>
  <c r="G1106" i="10"/>
  <c r="F1106" i="10"/>
  <c r="D1106" i="10"/>
  <c r="C1106" i="10"/>
  <c r="I1151" i="1"/>
  <c r="G1151" i="1"/>
  <c r="F1151" i="1"/>
  <c r="F1152" i="1" s="1"/>
  <c r="E1151" i="1"/>
  <c r="H1150" i="1"/>
  <c r="J1150" i="1" s="1"/>
  <c r="H1149" i="1"/>
  <c r="H1151" i="1" s="1"/>
  <c r="L1146" i="1"/>
  <c r="J1146" i="1"/>
  <c r="I1146" i="1"/>
  <c r="G1146" i="1"/>
  <c r="E1146" i="1"/>
  <c r="H1145" i="1"/>
  <c r="H1144" i="1"/>
  <c r="H1143" i="1"/>
  <c r="L1139" i="1"/>
  <c r="J1139" i="1"/>
  <c r="I1139" i="1"/>
  <c r="G1139" i="1"/>
  <c r="E1139" i="1"/>
  <c r="H1138" i="1"/>
  <c r="H1137" i="1"/>
  <c r="H1136" i="1"/>
  <c r="H1135" i="1"/>
  <c r="H1134" i="1"/>
  <c r="L1132" i="1"/>
  <c r="I1132" i="1"/>
  <c r="G1132" i="1"/>
  <c r="E1132" i="1"/>
  <c r="F1131" i="1"/>
  <c r="H1129" i="1"/>
  <c r="F1129" i="1"/>
  <c r="H1128" i="1"/>
  <c r="F1128" i="1"/>
  <c r="H1127" i="1"/>
  <c r="F1127" i="1"/>
  <c r="H1126" i="1"/>
  <c r="F1126" i="1"/>
  <c r="H1125" i="1"/>
  <c r="F1125" i="1"/>
  <c r="H1124" i="1"/>
  <c r="F1124" i="1"/>
  <c r="H1123" i="1"/>
  <c r="F1123" i="1"/>
  <c r="H1122" i="1"/>
  <c r="F1122" i="1"/>
  <c r="H1121" i="1"/>
  <c r="F1121" i="1"/>
  <c r="H1120" i="1"/>
  <c r="F1120" i="1"/>
  <c r="H1118" i="1"/>
  <c r="F1118" i="1"/>
  <c r="H1116" i="1"/>
  <c r="F1116" i="1"/>
  <c r="H1114" i="1"/>
  <c r="F1114" i="1"/>
  <c r="H1113" i="1"/>
  <c r="F1113" i="1"/>
  <c r="H1112" i="1"/>
  <c r="J1112" i="1" s="1"/>
  <c r="J1132" i="1" s="1"/>
  <c r="F1112" i="1"/>
  <c r="H1111" i="1"/>
  <c r="F1111" i="1"/>
  <c r="H1110" i="1"/>
  <c r="F1110" i="1"/>
  <c r="K1022" i="10"/>
  <c r="K1034" i="10"/>
  <c r="K1033" i="10"/>
  <c r="K1032" i="10"/>
  <c r="K1031" i="10"/>
  <c r="K1029" i="10"/>
  <c r="K1027" i="10"/>
  <c r="K1024" i="10"/>
  <c r="E1075" i="10"/>
  <c r="D1075" i="10"/>
  <c r="G1075" i="10"/>
  <c r="C1075" i="10"/>
  <c r="I1102" i="1"/>
  <c r="G1102" i="1"/>
  <c r="F1102" i="1"/>
  <c r="F1103" i="1" s="1"/>
  <c r="E1102" i="1"/>
  <c r="H1101" i="1"/>
  <c r="J1101" i="1" s="1"/>
  <c r="H1100" i="1"/>
  <c r="H1102" i="1" s="1"/>
  <c r="L1097" i="1"/>
  <c r="J1097" i="1"/>
  <c r="I1097" i="1"/>
  <c r="G1097" i="1"/>
  <c r="E1097" i="1"/>
  <c r="H1096" i="1"/>
  <c r="H1095" i="1"/>
  <c r="H1094" i="1"/>
  <c r="L1090" i="1"/>
  <c r="J1090" i="1"/>
  <c r="I1090" i="1"/>
  <c r="G1090" i="1"/>
  <c r="E1090" i="1"/>
  <c r="H1089" i="1"/>
  <c r="H1088" i="1"/>
  <c r="H1087" i="1"/>
  <c r="H1086" i="1"/>
  <c r="H1085" i="1"/>
  <c r="L1083" i="1"/>
  <c r="I1083" i="1"/>
  <c r="G1083" i="1"/>
  <c r="E1083" i="1"/>
  <c r="F1082" i="1"/>
  <c r="H1080" i="1"/>
  <c r="F1080" i="1"/>
  <c r="H1079" i="1"/>
  <c r="F1079" i="1"/>
  <c r="H1078" i="1"/>
  <c r="F1078" i="1"/>
  <c r="H1077" i="1"/>
  <c r="F1077" i="1"/>
  <c r="H1076" i="1"/>
  <c r="F1076" i="1"/>
  <c r="H1075" i="1"/>
  <c r="F1075" i="1"/>
  <c r="H1074" i="1"/>
  <c r="F1074" i="1"/>
  <c r="H1073" i="1"/>
  <c r="F1073" i="1"/>
  <c r="H1072" i="1"/>
  <c r="F1072" i="1"/>
  <c r="H1071" i="1"/>
  <c r="F1071" i="1"/>
  <c r="H1069" i="1"/>
  <c r="F1069" i="1"/>
  <c r="H1067" i="1"/>
  <c r="F1067" i="1"/>
  <c r="H1065" i="1"/>
  <c r="F1065" i="1"/>
  <c r="H1064" i="1"/>
  <c r="F1064" i="1"/>
  <c r="H1063" i="1"/>
  <c r="J1063" i="1" s="1"/>
  <c r="J1083" i="1" s="1"/>
  <c r="F1063" i="1"/>
  <c r="H1062" i="1"/>
  <c r="F1062" i="1"/>
  <c r="H1061" i="1"/>
  <c r="F1061" i="1"/>
  <c r="H1027" i="1"/>
  <c r="F1027" i="1"/>
  <c r="F1013" i="1"/>
  <c r="H1013" i="1"/>
  <c r="F1014" i="1"/>
  <c r="H1014" i="1"/>
  <c r="F1015" i="1"/>
  <c r="H1015" i="1"/>
  <c r="J1015" i="1" s="1"/>
  <c r="J1035" i="1" s="1"/>
  <c r="F1016" i="1"/>
  <c r="H1016" i="1"/>
  <c r="F1017" i="1"/>
  <c r="H1017" i="1"/>
  <c r="F1019" i="1"/>
  <c r="H1019" i="1"/>
  <c r="F1021" i="1"/>
  <c r="H1021" i="1"/>
  <c r="F1023" i="1"/>
  <c r="H1023" i="1"/>
  <c r="F1024" i="1"/>
  <c r="H1024" i="1"/>
  <c r="F1025" i="1"/>
  <c r="H1025" i="1"/>
  <c r="F1026" i="1"/>
  <c r="H1026" i="1"/>
  <c r="F1028" i="1"/>
  <c r="H1028" i="1"/>
  <c r="F1029" i="1"/>
  <c r="H1029" i="1"/>
  <c r="F1030" i="1"/>
  <c r="H1030" i="1"/>
  <c r="F1031" i="1"/>
  <c r="H1031" i="1"/>
  <c r="F1032" i="1"/>
  <c r="H1032" i="1"/>
  <c r="F1033" i="1"/>
  <c r="H1033" i="1"/>
  <c r="F1034" i="1"/>
  <c r="E1035" i="1"/>
  <c r="G1035" i="1"/>
  <c r="I1035" i="1"/>
  <c r="I1050" i="1" s="1"/>
  <c r="I1055" i="1" s="1"/>
  <c r="L1035" i="1"/>
  <c r="H1037" i="1"/>
  <c r="H1038" i="1"/>
  <c r="H1039" i="1"/>
  <c r="H1040" i="1"/>
  <c r="H1041" i="1"/>
  <c r="E1042" i="1"/>
  <c r="G1042" i="1"/>
  <c r="I1042" i="1"/>
  <c r="J1042" i="1"/>
  <c r="L1042" i="1"/>
  <c r="H1046" i="1"/>
  <c r="H1049" i="1" s="1"/>
  <c r="H1047" i="1"/>
  <c r="H1048" i="1"/>
  <c r="E1049" i="1"/>
  <c r="G1049" i="1"/>
  <c r="I1049" i="1"/>
  <c r="J1049" i="1"/>
  <c r="L1049" i="1"/>
  <c r="H1052" i="1"/>
  <c r="H1054" i="1" s="1"/>
  <c r="H1053" i="1"/>
  <c r="J1053" i="1"/>
  <c r="E1054" i="1"/>
  <c r="E1480" i="1" s="1"/>
  <c r="F1054" i="1"/>
  <c r="F1055" i="1" s="1"/>
  <c r="G1054" i="1"/>
  <c r="I1054" i="1"/>
  <c r="K943" i="10"/>
  <c r="K942" i="10"/>
  <c r="K941" i="10"/>
  <c r="K940" i="10"/>
  <c r="K938" i="10"/>
  <c r="K937" i="10"/>
  <c r="K935" i="10"/>
  <c r="K932" i="10"/>
  <c r="K939" i="10"/>
  <c r="K936" i="10"/>
  <c r="L934" i="10"/>
  <c r="L1025" i="10" s="1"/>
  <c r="K933" i="10"/>
  <c r="G1014" i="10"/>
  <c r="E1014" i="10"/>
  <c r="D1014" i="10"/>
  <c r="C1014" i="10"/>
  <c r="K842" i="10"/>
  <c r="K843" i="10"/>
  <c r="K844" i="10"/>
  <c r="K833" i="10"/>
  <c r="K836" i="10"/>
  <c r="K841" i="10"/>
  <c r="K839" i="10"/>
  <c r="K837" i="10"/>
  <c r="K834" i="10"/>
  <c r="K840" i="10"/>
  <c r="K838" i="10"/>
  <c r="G915" i="10"/>
  <c r="F915" i="10"/>
  <c r="D915" i="10"/>
  <c r="C915" i="10"/>
  <c r="H994" i="1"/>
  <c r="F978" i="1"/>
  <c r="H978" i="1"/>
  <c r="H971" i="1"/>
  <c r="F971" i="1"/>
  <c r="H985" i="1"/>
  <c r="F985" i="1"/>
  <c r="I1008" i="1"/>
  <c r="G1008" i="1"/>
  <c r="F1008" i="1"/>
  <c r="F1009" i="1" s="1"/>
  <c r="E1008" i="1"/>
  <c r="H1007" i="1"/>
  <c r="J1007" i="1" s="1"/>
  <c r="H1006" i="1"/>
  <c r="H1008" i="1" s="1"/>
  <c r="L1003" i="1"/>
  <c r="J1003" i="1"/>
  <c r="I1003" i="1"/>
  <c r="G1003" i="1"/>
  <c r="E1003" i="1"/>
  <c r="H1002" i="1"/>
  <c r="H1001" i="1"/>
  <c r="H1000" i="1"/>
  <c r="H1003" i="1" s="1"/>
  <c r="L996" i="1"/>
  <c r="J996" i="1"/>
  <c r="I996" i="1"/>
  <c r="G996" i="1"/>
  <c r="E996" i="1"/>
  <c r="H995" i="1"/>
  <c r="H993" i="1"/>
  <c r="H992" i="1"/>
  <c r="H991" i="1"/>
  <c r="L989" i="1"/>
  <c r="I989" i="1"/>
  <c r="G989" i="1"/>
  <c r="E989" i="1"/>
  <c r="F988" i="1"/>
  <c r="H987" i="1"/>
  <c r="F987" i="1"/>
  <c r="H986" i="1"/>
  <c r="F986" i="1"/>
  <c r="H984" i="1"/>
  <c r="F984" i="1"/>
  <c r="H983" i="1"/>
  <c r="F983" i="1"/>
  <c r="H982" i="1"/>
  <c r="F982" i="1"/>
  <c r="H980" i="1"/>
  <c r="F980" i="1"/>
  <c r="H979" i="1"/>
  <c r="F979" i="1"/>
  <c r="H977" i="1"/>
  <c r="F977" i="1"/>
  <c r="H975" i="1"/>
  <c r="F975" i="1"/>
  <c r="H973" i="1"/>
  <c r="F973" i="1"/>
  <c r="H970" i="1"/>
  <c r="F970" i="1"/>
  <c r="H969" i="1"/>
  <c r="J969" i="1" s="1"/>
  <c r="J989" i="1" s="1"/>
  <c r="J1004" i="1" s="1"/>
  <c r="F969" i="1"/>
  <c r="H968" i="1"/>
  <c r="F968" i="1"/>
  <c r="H967" i="1"/>
  <c r="F967" i="1"/>
  <c r="F921" i="1"/>
  <c r="H921" i="1"/>
  <c r="F922" i="1"/>
  <c r="H922" i="1"/>
  <c r="F923" i="1"/>
  <c r="H923" i="1"/>
  <c r="J923" i="1" s="1"/>
  <c r="F924" i="1"/>
  <c r="H924" i="1"/>
  <c r="F927" i="1"/>
  <c r="H927" i="1"/>
  <c r="F929" i="1"/>
  <c r="H929" i="1"/>
  <c r="F931" i="1"/>
  <c r="H931" i="1"/>
  <c r="F932" i="1"/>
  <c r="H932" i="1"/>
  <c r="F933" i="1"/>
  <c r="H933" i="1"/>
  <c r="F934" i="1"/>
  <c r="H934" i="1"/>
  <c r="F936" i="1"/>
  <c r="H936" i="1"/>
  <c r="F937" i="1"/>
  <c r="H937" i="1"/>
  <c r="F938" i="1"/>
  <c r="H938" i="1"/>
  <c r="F940" i="1"/>
  <c r="H940" i="1"/>
  <c r="F941" i="1"/>
  <c r="H941" i="1"/>
  <c r="F942" i="1"/>
  <c r="E943" i="1"/>
  <c r="G943" i="1"/>
  <c r="G958" i="1" s="1"/>
  <c r="I943" i="1"/>
  <c r="L943" i="1"/>
  <c r="H945" i="1"/>
  <c r="H946" i="1"/>
  <c r="H947" i="1"/>
  <c r="H950" i="1"/>
  <c r="H949" i="1"/>
  <c r="E950" i="1"/>
  <c r="G950" i="1"/>
  <c r="I950" i="1"/>
  <c r="J950" i="1"/>
  <c r="L950" i="1"/>
  <c r="H954" i="1"/>
  <c r="H955" i="1"/>
  <c r="H956" i="1"/>
  <c r="E957" i="1"/>
  <c r="G957" i="1"/>
  <c r="I957" i="1"/>
  <c r="J957" i="1"/>
  <c r="L957" i="1"/>
  <c r="H960" i="1"/>
  <c r="H961" i="1"/>
  <c r="J961" i="1"/>
  <c r="E962" i="1"/>
  <c r="F962" i="1"/>
  <c r="F963" i="1" s="1"/>
  <c r="G962" i="1"/>
  <c r="I962" i="1"/>
  <c r="K726" i="10"/>
  <c r="K724" i="10"/>
  <c r="G819" i="10"/>
  <c r="D819" i="10"/>
  <c r="C819" i="10"/>
  <c r="K727" i="10"/>
  <c r="K725" i="10"/>
  <c r="K717" i="10"/>
  <c r="K716" i="10"/>
  <c r="K723" i="10"/>
  <c r="K722" i="10"/>
  <c r="K721" i="10"/>
  <c r="K720" i="10"/>
  <c r="K719" i="10"/>
  <c r="K569" i="10"/>
  <c r="K570" i="10"/>
  <c r="K568" i="10"/>
  <c r="K567" i="10"/>
  <c r="K558" i="10"/>
  <c r="K565" i="10"/>
  <c r="C706" i="10"/>
  <c r="K563" i="10"/>
  <c r="K560" i="10"/>
  <c r="K562" i="10"/>
  <c r="L561" i="10"/>
  <c r="L718" i="10" s="1"/>
  <c r="L835" i="10" s="1"/>
  <c r="G706" i="10"/>
  <c r="D706" i="10"/>
  <c r="K525" i="10"/>
  <c r="K524" i="10"/>
  <c r="K523" i="10"/>
  <c r="K522" i="10"/>
  <c r="K520" i="10"/>
  <c r="K518" i="10"/>
  <c r="K517" i="10"/>
  <c r="K515" i="10"/>
  <c r="G552" i="10"/>
  <c r="D552" i="10"/>
  <c r="C552" i="10"/>
  <c r="F896" i="1"/>
  <c r="F875" i="1"/>
  <c r="H875" i="1"/>
  <c r="F876" i="1"/>
  <c r="H876" i="1"/>
  <c r="F877" i="1"/>
  <c r="H877" i="1"/>
  <c r="J877" i="1" s="1"/>
  <c r="F878" i="1"/>
  <c r="H878" i="1"/>
  <c r="J878" i="1" s="1"/>
  <c r="F881" i="1"/>
  <c r="H881" i="1"/>
  <c r="F882" i="1"/>
  <c r="H882" i="1"/>
  <c r="F883" i="1"/>
  <c r="H883" i="1"/>
  <c r="J883" i="1" s="1"/>
  <c r="F885" i="1"/>
  <c r="H885" i="1"/>
  <c r="F886" i="1"/>
  <c r="H886" i="1"/>
  <c r="F887" i="1"/>
  <c r="H887" i="1"/>
  <c r="F888" i="1"/>
  <c r="H888" i="1"/>
  <c r="F890" i="1"/>
  <c r="H890" i="1"/>
  <c r="F891" i="1"/>
  <c r="H891" i="1"/>
  <c r="F892" i="1"/>
  <c r="H892" i="1"/>
  <c r="F893" i="1"/>
  <c r="H893" i="1"/>
  <c r="J893" i="1" s="1"/>
  <c r="F894" i="1"/>
  <c r="H894" i="1"/>
  <c r="J894" i="1" s="1"/>
  <c r="F895" i="1"/>
  <c r="H895" i="1"/>
  <c r="E897" i="1"/>
  <c r="G897" i="1"/>
  <c r="L897" i="1"/>
  <c r="H899" i="1"/>
  <c r="H900" i="1"/>
  <c r="H901" i="1"/>
  <c r="H902" i="1"/>
  <c r="H903" i="1"/>
  <c r="E904" i="1"/>
  <c r="G904" i="1"/>
  <c r="I904" i="1"/>
  <c r="J904" i="1"/>
  <c r="L904" i="1"/>
  <c r="H908" i="1"/>
  <c r="H909" i="1"/>
  <c r="H910" i="1"/>
  <c r="E911" i="1"/>
  <c r="G911" i="1"/>
  <c r="I911" i="1"/>
  <c r="J911" i="1"/>
  <c r="L911" i="1"/>
  <c r="H914" i="1"/>
  <c r="H915" i="1"/>
  <c r="J915" i="1" s="1"/>
  <c r="E916" i="1"/>
  <c r="F916" i="1"/>
  <c r="F917" i="1" s="1"/>
  <c r="G916" i="1"/>
  <c r="I916" i="1"/>
  <c r="F833" i="1"/>
  <c r="F829" i="1"/>
  <c r="H829" i="1"/>
  <c r="F830" i="1"/>
  <c r="H830" i="1"/>
  <c r="F831" i="1"/>
  <c r="H831" i="1"/>
  <c r="J831" i="1" s="1"/>
  <c r="F832" i="1"/>
  <c r="H832" i="1"/>
  <c r="J832" i="1" s="1"/>
  <c r="F835" i="1"/>
  <c r="H835" i="1"/>
  <c r="F836" i="1"/>
  <c r="H836" i="1"/>
  <c r="F837" i="1"/>
  <c r="H837" i="1"/>
  <c r="J837" i="1" s="1"/>
  <c r="F838" i="1"/>
  <c r="H838" i="1"/>
  <c r="J838" i="1" s="1"/>
  <c r="F839" i="1"/>
  <c r="H839" i="1"/>
  <c r="F840" i="1"/>
  <c r="H840" i="1"/>
  <c r="F841" i="1"/>
  <c r="H841" i="1"/>
  <c r="F842" i="1"/>
  <c r="H842" i="1"/>
  <c r="F843" i="1"/>
  <c r="H843" i="1"/>
  <c r="F844" i="1"/>
  <c r="H844" i="1"/>
  <c r="F845" i="1"/>
  <c r="H845" i="1"/>
  <c r="F846" i="1"/>
  <c r="H846" i="1"/>
  <c r="F847" i="1"/>
  <c r="H847" i="1"/>
  <c r="J847" i="1" s="1"/>
  <c r="F848" i="1"/>
  <c r="H848" i="1"/>
  <c r="J848" i="1" s="1"/>
  <c r="F849" i="1"/>
  <c r="H849" i="1"/>
  <c r="E851" i="1"/>
  <c r="G851" i="1"/>
  <c r="I851" i="1"/>
  <c r="L851" i="1"/>
  <c r="H853" i="1"/>
  <c r="H854" i="1"/>
  <c r="H855" i="1"/>
  <c r="H856" i="1"/>
  <c r="H857" i="1"/>
  <c r="E858" i="1"/>
  <c r="G858" i="1"/>
  <c r="I858" i="1"/>
  <c r="J858" i="1"/>
  <c r="L858" i="1"/>
  <c r="H862" i="1"/>
  <c r="H863" i="1"/>
  <c r="H864" i="1"/>
  <c r="E865" i="1"/>
  <c r="G865" i="1"/>
  <c r="I865" i="1"/>
  <c r="J865" i="1"/>
  <c r="L865" i="1"/>
  <c r="H868" i="1"/>
  <c r="H870" i="1" s="1"/>
  <c r="H869" i="1"/>
  <c r="J869" i="1" s="1"/>
  <c r="E870" i="1"/>
  <c r="F870" i="1"/>
  <c r="F871" i="1" s="1"/>
  <c r="G870" i="1"/>
  <c r="I870" i="1"/>
  <c r="K501" i="10"/>
  <c r="K499" i="10"/>
  <c r="K498" i="10"/>
  <c r="K496" i="10"/>
  <c r="K495" i="10"/>
  <c r="K494" i="10"/>
  <c r="K493" i="10"/>
  <c r="K491" i="10"/>
  <c r="G510" i="10"/>
  <c r="F510" i="10"/>
  <c r="D510" i="10"/>
  <c r="C510" i="10"/>
  <c r="F784" i="1"/>
  <c r="H784" i="1"/>
  <c r="F785" i="1"/>
  <c r="H785" i="1"/>
  <c r="F786" i="1"/>
  <c r="H786" i="1"/>
  <c r="J786" i="1" s="1"/>
  <c r="F787" i="1"/>
  <c r="H787" i="1"/>
  <c r="J787" i="1" s="1"/>
  <c r="F790" i="1"/>
  <c r="H790" i="1"/>
  <c r="F791" i="1"/>
  <c r="H791" i="1"/>
  <c r="F792" i="1"/>
  <c r="H792" i="1"/>
  <c r="J792" i="1" s="1"/>
  <c r="F793" i="1"/>
  <c r="H793" i="1"/>
  <c r="J793" i="1" s="1"/>
  <c r="F794" i="1"/>
  <c r="H794" i="1"/>
  <c r="F795" i="1"/>
  <c r="H795" i="1"/>
  <c r="F796" i="1"/>
  <c r="H796" i="1"/>
  <c r="F797" i="1"/>
  <c r="H797" i="1"/>
  <c r="F798" i="1"/>
  <c r="H798" i="1"/>
  <c r="F799" i="1"/>
  <c r="H799" i="1"/>
  <c r="F800" i="1"/>
  <c r="H800" i="1"/>
  <c r="F801" i="1"/>
  <c r="H801" i="1"/>
  <c r="F802" i="1"/>
  <c r="H802" i="1"/>
  <c r="J802" i="1" s="1"/>
  <c r="F803" i="1"/>
  <c r="H803" i="1"/>
  <c r="J803" i="1" s="1"/>
  <c r="F804" i="1"/>
  <c r="H804" i="1"/>
  <c r="E806" i="1"/>
  <c r="G806" i="1"/>
  <c r="G821" i="1" s="1"/>
  <c r="I806" i="1"/>
  <c r="I821" i="1" s="1"/>
  <c r="I826" i="1" s="1"/>
  <c r="L806" i="1"/>
  <c r="H808" i="1"/>
  <c r="H809" i="1"/>
  <c r="H810" i="1"/>
  <c r="H811" i="1"/>
  <c r="H812" i="1"/>
  <c r="E813" i="1"/>
  <c r="G813" i="1"/>
  <c r="I813" i="1"/>
  <c r="J813" i="1"/>
  <c r="L813" i="1"/>
  <c r="H817" i="1"/>
  <c r="H820" i="1" s="1"/>
  <c r="H818" i="1"/>
  <c r="H819" i="1"/>
  <c r="E820" i="1"/>
  <c r="G820" i="1"/>
  <c r="I820" i="1"/>
  <c r="J820" i="1"/>
  <c r="L820" i="1"/>
  <c r="H823" i="1"/>
  <c r="J823" i="1" s="1"/>
  <c r="H824" i="1"/>
  <c r="J824" i="1" s="1"/>
  <c r="E825" i="1"/>
  <c r="F825" i="1"/>
  <c r="F826" i="1" s="1"/>
  <c r="G825" i="1"/>
  <c r="I825" i="1"/>
  <c r="H752" i="1"/>
  <c r="F752" i="1"/>
  <c r="L774" i="1"/>
  <c r="L767" i="1"/>
  <c r="L760" i="1"/>
  <c r="I779" i="1"/>
  <c r="G779" i="1"/>
  <c r="F779" i="1"/>
  <c r="F780" i="1" s="1"/>
  <c r="E779" i="1"/>
  <c r="H778" i="1"/>
  <c r="J778" i="1" s="1"/>
  <c r="H777" i="1"/>
  <c r="J777" i="1" s="1"/>
  <c r="J774" i="1"/>
  <c r="I774" i="1"/>
  <c r="G774" i="1"/>
  <c r="E774" i="1"/>
  <c r="H773" i="1"/>
  <c r="H772" i="1"/>
  <c r="H771" i="1"/>
  <c r="J767" i="1"/>
  <c r="I767" i="1"/>
  <c r="G767" i="1"/>
  <c r="E767" i="1"/>
  <c r="H766" i="1"/>
  <c r="H765" i="1"/>
  <c r="H764" i="1"/>
  <c r="H763" i="1"/>
  <c r="H762" i="1"/>
  <c r="H767" i="1" s="1"/>
  <c r="I760" i="1"/>
  <c r="G760" i="1"/>
  <c r="E760" i="1"/>
  <c r="H758" i="1"/>
  <c r="F758" i="1"/>
  <c r="H757" i="1"/>
  <c r="J757" i="1" s="1"/>
  <c r="F757" i="1"/>
  <c r="H756" i="1"/>
  <c r="J756" i="1" s="1"/>
  <c r="F756" i="1"/>
  <c r="H755" i="1"/>
  <c r="F755" i="1"/>
  <c r="H754" i="1"/>
  <c r="F754" i="1"/>
  <c r="H753" i="1"/>
  <c r="F753" i="1"/>
  <c r="H751" i="1"/>
  <c r="F751" i="1"/>
  <c r="H750" i="1"/>
  <c r="F750" i="1"/>
  <c r="H749" i="1"/>
  <c r="F749" i="1"/>
  <c r="H748" i="1"/>
  <c r="F748" i="1"/>
  <c r="H747" i="1"/>
  <c r="J747" i="1" s="1"/>
  <c r="F747" i="1"/>
  <c r="H746" i="1"/>
  <c r="J746" i="1" s="1"/>
  <c r="F746" i="1"/>
  <c r="H745" i="1"/>
  <c r="F745" i="1"/>
  <c r="H744" i="1"/>
  <c r="F744" i="1"/>
  <c r="J741" i="1"/>
  <c r="H741" i="1"/>
  <c r="F741" i="1"/>
  <c r="H740" i="1"/>
  <c r="J740" i="1" s="1"/>
  <c r="F740" i="1"/>
  <c r="H739" i="1"/>
  <c r="F739" i="1"/>
  <c r="H738" i="1"/>
  <c r="F738" i="1"/>
  <c r="K475" i="10"/>
  <c r="K473" i="10"/>
  <c r="K472" i="10"/>
  <c r="K470" i="10"/>
  <c r="K468" i="10"/>
  <c r="K465" i="10"/>
  <c r="G486" i="10"/>
  <c r="F486" i="10"/>
  <c r="D486" i="10"/>
  <c r="C486" i="10"/>
  <c r="K439" i="10"/>
  <c r="K438" i="10"/>
  <c r="K437" i="10"/>
  <c r="K440" i="10"/>
  <c r="K435" i="10"/>
  <c r="C461" i="10"/>
  <c r="K433" i="10"/>
  <c r="K432" i="10"/>
  <c r="K430" i="10"/>
  <c r="G461" i="10"/>
  <c r="D461" i="10"/>
  <c r="F691" i="1"/>
  <c r="H691" i="1"/>
  <c r="F692" i="1"/>
  <c r="H692" i="1"/>
  <c r="F693" i="1"/>
  <c r="H693" i="1"/>
  <c r="J693" i="1" s="1"/>
  <c r="F694" i="1"/>
  <c r="H694" i="1"/>
  <c r="J694" i="1" s="1"/>
  <c r="F697" i="1"/>
  <c r="H697" i="1"/>
  <c r="F698" i="1"/>
  <c r="H698" i="1"/>
  <c r="F699" i="1"/>
  <c r="H699" i="1"/>
  <c r="J699" i="1"/>
  <c r="F700" i="1"/>
  <c r="H700" i="1"/>
  <c r="J700" i="1" s="1"/>
  <c r="F701" i="1"/>
  <c r="H701" i="1"/>
  <c r="F702" i="1"/>
  <c r="H702" i="1"/>
  <c r="F703" i="1"/>
  <c r="H703" i="1"/>
  <c r="F704" i="1"/>
  <c r="H704" i="1"/>
  <c r="F706" i="1"/>
  <c r="H706" i="1"/>
  <c r="F707" i="1"/>
  <c r="H707" i="1"/>
  <c r="F708" i="1"/>
  <c r="H708" i="1"/>
  <c r="F709" i="1"/>
  <c r="H709" i="1"/>
  <c r="J709" i="1"/>
  <c r="F710" i="1"/>
  <c r="H710" i="1"/>
  <c r="J710" i="1" s="1"/>
  <c r="F711" i="1"/>
  <c r="H711" i="1"/>
  <c r="F712" i="1"/>
  <c r="H712" i="1"/>
  <c r="E713" i="1"/>
  <c r="G713" i="1"/>
  <c r="I713" i="1"/>
  <c r="L713" i="1"/>
  <c r="H715" i="1"/>
  <c r="H716" i="1"/>
  <c r="H717" i="1"/>
  <c r="H719" i="1"/>
  <c r="E720" i="1"/>
  <c r="G720" i="1"/>
  <c r="I720" i="1"/>
  <c r="J720" i="1"/>
  <c r="L720" i="1"/>
  <c r="H724" i="1"/>
  <c r="H727" i="1" s="1"/>
  <c r="H725" i="1"/>
  <c r="H726" i="1"/>
  <c r="E727" i="1"/>
  <c r="G727" i="1"/>
  <c r="I727" i="1"/>
  <c r="J727" i="1"/>
  <c r="L727" i="1"/>
  <c r="H730" i="1"/>
  <c r="J730" i="1" s="1"/>
  <c r="H731" i="1"/>
  <c r="J731" i="1" s="1"/>
  <c r="E732" i="1"/>
  <c r="F732" i="1"/>
  <c r="G732" i="1"/>
  <c r="I732" i="1"/>
  <c r="L680" i="1"/>
  <c r="L673" i="1"/>
  <c r="L666" i="1"/>
  <c r="H660" i="1"/>
  <c r="F660" i="1"/>
  <c r="I685" i="1"/>
  <c r="G685" i="1"/>
  <c r="F685" i="1"/>
  <c r="F686" i="1" s="1"/>
  <c r="E685" i="1"/>
  <c r="H684" i="1"/>
  <c r="J684" i="1" s="1"/>
  <c r="J683" i="1"/>
  <c r="H683" i="1"/>
  <c r="J680" i="1"/>
  <c r="I680" i="1"/>
  <c r="G680" i="1"/>
  <c r="E680" i="1"/>
  <c r="H679" i="1"/>
  <c r="H678" i="1"/>
  <c r="H677" i="1"/>
  <c r="J673" i="1"/>
  <c r="I673" i="1"/>
  <c r="G673" i="1"/>
  <c r="E673" i="1"/>
  <c r="H672" i="1"/>
  <c r="H671" i="1"/>
  <c r="H670" i="1"/>
  <c r="H669" i="1"/>
  <c r="H668" i="1"/>
  <c r="I666" i="1"/>
  <c r="G666" i="1"/>
  <c r="E666" i="1"/>
  <c r="H665" i="1"/>
  <c r="F665" i="1"/>
  <c r="H664" i="1"/>
  <c r="F664" i="1"/>
  <c r="H663" i="1"/>
  <c r="J663" i="1" s="1"/>
  <c r="F663" i="1"/>
  <c r="J662" i="1"/>
  <c r="H662" i="1"/>
  <c r="F662" i="1"/>
  <c r="H661" i="1"/>
  <c r="F661" i="1"/>
  <c r="H659" i="1"/>
  <c r="F659" i="1"/>
  <c r="H658" i="1"/>
  <c r="F658" i="1"/>
  <c r="H657" i="1"/>
  <c r="F657" i="1"/>
  <c r="H656" i="1"/>
  <c r="F656" i="1"/>
  <c r="H655" i="1"/>
  <c r="F655" i="1"/>
  <c r="H654" i="1"/>
  <c r="F654" i="1"/>
  <c r="H653" i="1"/>
  <c r="J653" i="1" s="1"/>
  <c r="F653" i="1"/>
  <c r="H652" i="1"/>
  <c r="J652" i="1" s="1"/>
  <c r="F652" i="1"/>
  <c r="H651" i="1"/>
  <c r="F651" i="1"/>
  <c r="H650" i="1"/>
  <c r="F650" i="1"/>
  <c r="H647" i="1"/>
  <c r="J647" i="1" s="1"/>
  <c r="F647" i="1"/>
  <c r="H646" i="1"/>
  <c r="J646" i="1" s="1"/>
  <c r="F646" i="1"/>
  <c r="H645" i="1"/>
  <c r="F645" i="1"/>
  <c r="H644" i="1"/>
  <c r="F644" i="1"/>
  <c r="K402" i="10"/>
  <c r="K404" i="10"/>
  <c r="K401" i="10"/>
  <c r="K400" i="10"/>
  <c r="K399" i="10"/>
  <c r="K397" i="10"/>
  <c r="K396" i="10"/>
  <c r="K394" i="10"/>
  <c r="K393" i="10"/>
  <c r="G425" i="10"/>
  <c r="D425" i="10"/>
  <c r="C425" i="10"/>
  <c r="K383" i="10"/>
  <c r="K382" i="10"/>
  <c r="L382" i="10" s="1"/>
  <c r="L403" i="10" s="1"/>
  <c r="K381" i="10"/>
  <c r="K380" i="10"/>
  <c r="K378" i="10"/>
  <c r="K376" i="10"/>
  <c r="K373" i="10"/>
  <c r="L379" i="10"/>
  <c r="L374" i="10"/>
  <c r="L395" i="10" s="1"/>
  <c r="L431" i="10" s="1"/>
  <c r="L466" i="10" s="1"/>
  <c r="L492" i="10" s="1"/>
  <c r="L516" i="10" s="1"/>
  <c r="G388" i="10"/>
  <c r="F388" i="10"/>
  <c r="D388" i="10"/>
  <c r="C388" i="10"/>
  <c r="I638" i="1"/>
  <c r="G638" i="1"/>
  <c r="F638" i="1"/>
  <c r="F639" i="1" s="1"/>
  <c r="E638" i="1"/>
  <c r="H637" i="1"/>
  <c r="J637" i="1" s="1"/>
  <c r="H636" i="1"/>
  <c r="J636" i="1" s="1"/>
  <c r="L633" i="1"/>
  <c r="J633" i="1"/>
  <c r="I633" i="1"/>
  <c r="H633" i="1"/>
  <c r="G633" i="1"/>
  <c r="E633" i="1"/>
  <c r="H632" i="1"/>
  <c r="H631" i="1"/>
  <c r="H630" i="1"/>
  <c r="L626" i="1"/>
  <c r="J626" i="1"/>
  <c r="I626" i="1"/>
  <c r="H626" i="1"/>
  <c r="G626" i="1"/>
  <c r="E626" i="1"/>
  <c r="E827" i="1" s="1"/>
  <c r="H625" i="1"/>
  <c r="H624" i="1"/>
  <c r="H623" i="1"/>
  <c r="H622" i="1"/>
  <c r="H621" i="1"/>
  <c r="L619" i="1"/>
  <c r="I619" i="1"/>
  <c r="G619" i="1"/>
  <c r="E619" i="1"/>
  <c r="E640" i="1" s="1"/>
  <c r="H618" i="1"/>
  <c r="F618" i="1"/>
  <c r="H617" i="1"/>
  <c r="F617" i="1"/>
  <c r="H616" i="1"/>
  <c r="J616" i="1" s="1"/>
  <c r="F616" i="1"/>
  <c r="H615" i="1"/>
  <c r="J615" i="1" s="1"/>
  <c r="F615" i="1"/>
  <c r="H614" i="1"/>
  <c r="F614" i="1"/>
  <c r="H612" i="1"/>
  <c r="F612" i="1"/>
  <c r="H611" i="1"/>
  <c r="F611" i="1"/>
  <c r="H610" i="1"/>
  <c r="F610" i="1"/>
  <c r="H609" i="1"/>
  <c r="F609" i="1"/>
  <c r="H608" i="1"/>
  <c r="F608" i="1"/>
  <c r="H607" i="1"/>
  <c r="F607" i="1"/>
  <c r="H606" i="1"/>
  <c r="J606" i="1" s="1"/>
  <c r="F606" i="1"/>
  <c r="H605" i="1"/>
  <c r="J605" i="1" s="1"/>
  <c r="F605" i="1"/>
  <c r="H604" i="1"/>
  <c r="F604" i="1"/>
  <c r="H603" i="1"/>
  <c r="F603" i="1"/>
  <c r="H600" i="1"/>
  <c r="J600" i="1" s="1"/>
  <c r="F600" i="1"/>
  <c r="H599" i="1"/>
  <c r="J599" i="1" s="1"/>
  <c r="F599" i="1"/>
  <c r="H598" i="1"/>
  <c r="F598" i="1"/>
  <c r="H597" i="1"/>
  <c r="F597" i="1"/>
  <c r="K346" i="10"/>
  <c r="L371" i="10" s="1"/>
  <c r="L392" i="10" s="1"/>
  <c r="L428" i="10" s="1"/>
  <c r="L463" i="10" s="1"/>
  <c r="L489" i="10" s="1"/>
  <c r="L513" i="10" s="1"/>
  <c r="K358" i="10"/>
  <c r="K356" i="10"/>
  <c r="K355" i="10"/>
  <c r="K353" i="10"/>
  <c r="K352" i="10"/>
  <c r="L377" i="10" s="1"/>
  <c r="L398" i="10" s="1"/>
  <c r="L434" i="10" s="1"/>
  <c r="L469" i="10" s="1"/>
  <c r="K351" i="10"/>
  <c r="K350" i="10"/>
  <c r="L375" i="10" s="1"/>
  <c r="K348" i="10"/>
  <c r="K347" i="10"/>
  <c r="L372" i="10" s="1"/>
  <c r="G369" i="10"/>
  <c r="F369" i="10"/>
  <c r="D369" i="10"/>
  <c r="I588" i="1"/>
  <c r="G588" i="1"/>
  <c r="F588" i="1"/>
  <c r="F589" i="1" s="1"/>
  <c r="E588" i="1"/>
  <c r="H587" i="1"/>
  <c r="J587" i="1" s="1"/>
  <c r="H586" i="1"/>
  <c r="L583" i="1"/>
  <c r="J583" i="1"/>
  <c r="I583" i="1"/>
  <c r="G583" i="1"/>
  <c r="E583" i="1"/>
  <c r="H582" i="1"/>
  <c r="H581" i="1"/>
  <c r="H580" i="1"/>
  <c r="L576" i="1"/>
  <c r="J576" i="1"/>
  <c r="I576" i="1"/>
  <c r="G576" i="1"/>
  <c r="E576" i="1"/>
  <c r="H575" i="1"/>
  <c r="H574" i="1"/>
  <c r="H573" i="1"/>
  <c r="H572" i="1"/>
  <c r="H571" i="1"/>
  <c r="L569" i="1"/>
  <c r="I569" i="1"/>
  <c r="G569" i="1"/>
  <c r="E569" i="1"/>
  <c r="E590" i="1" s="1"/>
  <c r="H568" i="1"/>
  <c r="F568" i="1"/>
  <c r="H567" i="1"/>
  <c r="F567" i="1"/>
  <c r="H566" i="1"/>
  <c r="J566" i="1" s="1"/>
  <c r="F566" i="1"/>
  <c r="H565" i="1"/>
  <c r="J565" i="1" s="1"/>
  <c r="F565" i="1"/>
  <c r="H564" i="1"/>
  <c r="F564" i="1"/>
  <c r="H562" i="1"/>
  <c r="F562" i="1"/>
  <c r="H561" i="1"/>
  <c r="F561" i="1"/>
  <c r="H560" i="1"/>
  <c r="F560" i="1"/>
  <c r="H559" i="1"/>
  <c r="F559" i="1"/>
  <c r="H558" i="1"/>
  <c r="F558" i="1"/>
  <c r="H557" i="1"/>
  <c r="F557" i="1"/>
  <c r="H556" i="1"/>
  <c r="J556" i="1" s="1"/>
  <c r="F556" i="1"/>
  <c r="H555" i="1"/>
  <c r="J555" i="1" s="1"/>
  <c r="F555" i="1"/>
  <c r="H554" i="1"/>
  <c r="F554" i="1"/>
  <c r="H553" i="1"/>
  <c r="F553" i="1"/>
  <c r="H550" i="1"/>
  <c r="J550" i="1" s="1"/>
  <c r="F550" i="1"/>
  <c r="H549" i="1"/>
  <c r="J549" i="1" s="1"/>
  <c r="F549" i="1"/>
  <c r="H548" i="1"/>
  <c r="F548" i="1"/>
  <c r="H547" i="1"/>
  <c r="F547" i="1"/>
  <c r="F344" i="10"/>
  <c r="I343" i="10" s="1"/>
  <c r="G334" i="10"/>
  <c r="D334" i="10"/>
  <c r="C334" i="10"/>
  <c r="K333" i="10"/>
  <c r="K332" i="10"/>
  <c r="K331" i="10"/>
  <c r="K330" i="10"/>
  <c r="K328" i="10"/>
  <c r="K326" i="10"/>
  <c r="K323" i="10"/>
  <c r="E319" i="10"/>
  <c r="G313" i="10"/>
  <c r="F313" i="10"/>
  <c r="D313" i="10"/>
  <c r="C313" i="10"/>
  <c r="K307" i="10"/>
  <c r="K306" i="10"/>
  <c r="K305" i="10"/>
  <c r="K304" i="10"/>
  <c r="K302" i="10"/>
  <c r="K300" i="10"/>
  <c r="K297" i="10"/>
  <c r="K296" i="10"/>
  <c r="G277" i="10"/>
  <c r="D277" i="10"/>
  <c r="C277" i="10"/>
  <c r="K257" i="10"/>
  <c r="K256" i="10"/>
  <c r="K255" i="10"/>
  <c r="K254" i="10"/>
  <c r="K252" i="10"/>
  <c r="K250" i="10"/>
  <c r="K249" i="10"/>
  <c r="K247" i="10"/>
  <c r="K223" i="10"/>
  <c r="K221" i="10"/>
  <c r="K220" i="10"/>
  <c r="K218" i="10"/>
  <c r="K217" i="10"/>
  <c r="K216" i="10"/>
  <c r="F215" i="10"/>
  <c r="D215" i="10"/>
  <c r="C215" i="10"/>
  <c r="K213" i="10"/>
  <c r="K205" i="10"/>
  <c r="K204" i="10"/>
  <c r="K203" i="10"/>
  <c r="K201" i="10"/>
  <c r="D201" i="10"/>
  <c r="C201" i="10"/>
  <c r="K200" i="10"/>
  <c r="K199" i="10"/>
  <c r="K196" i="10"/>
  <c r="K184" i="10"/>
  <c r="K183" i="10"/>
  <c r="G183" i="10"/>
  <c r="D183" i="10"/>
  <c r="C183" i="10"/>
  <c r="K182" i="10"/>
  <c r="K180" i="10"/>
  <c r="K178" i="10"/>
  <c r="K175" i="10"/>
  <c r="K167" i="10"/>
  <c r="K165" i="10"/>
  <c r="K164" i="10"/>
  <c r="K162" i="10"/>
  <c r="D161" i="10"/>
  <c r="C161" i="10"/>
  <c r="K160" i="10"/>
  <c r="K157" i="10"/>
  <c r="K155" i="10"/>
  <c r="K150" i="10"/>
  <c r="K148" i="10"/>
  <c r="G148" i="10"/>
  <c r="D148" i="10"/>
  <c r="C148" i="10"/>
  <c r="K147" i="10"/>
  <c r="K145" i="10"/>
  <c r="K143" i="10"/>
  <c r="K140" i="10"/>
  <c r="G136" i="10"/>
  <c r="F136" i="10"/>
  <c r="D136" i="10"/>
  <c r="C136" i="10"/>
  <c r="K123" i="10"/>
  <c r="K122" i="10"/>
  <c r="K121" i="10"/>
  <c r="K120" i="10"/>
  <c r="K119" i="10"/>
  <c r="K118" i="10"/>
  <c r="K116" i="10"/>
  <c r="K115" i="10"/>
  <c r="K113" i="10"/>
  <c r="K112" i="10"/>
  <c r="G104" i="10"/>
  <c r="D104" i="10"/>
  <c r="C104" i="10"/>
  <c r="K90" i="10"/>
  <c r="K89" i="10"/>
  <c r="K88" i="10"/>
  <c r="K87" i="10"/>
  <c r="K83" i="10"/>
  <c r="K54" i="10"/>
  <c r="G54" i="10"/>
  <c r="D54" i="10"/>
  <c r="C54" i="10"/>
  <c r="K53" i="10"/>
  <c r="K52" i="10"/>
  <c r="K51" i="10"/>
  <c r="K50" i="10"/>
  <c r="K49" i="10"/>
  <c r="K47" i="10"/>
  <c r="K44" i="10"/>
  <c r="G39" i="10"/>
  <c r="F39" i="10"/>
  <c r="E39" i="10"/>
  <c r="D39" i="10"/>
  <c r="C39" i="10"/>
  <c r="I538" i="1"/>
  <c r="G538" i="1"/>
  <c r="F538" i="1"/>
  <c r="F539" i="1" s="1"/>
  <c r="E538" i="1"/>
  <c r="H537" i="1"/>
  <c r="J537" i="1" s="1"/>
  <c r="H536" i="1"/>
  <c r="L533" i="1"/>
  <c r="J533" i="1"/>
  <c r="I533" i="1"/>
  <c r="G533" i="1"/>
  <c r="E533" i="1"/>
  <c r="H532" i="1"/>
  <c r="H531" i="1"/>
  <c r="H530" i="1"/>
  <c r="L526" i="1"/>
  <c r="J526" i="1"/>
  <c r="I526" i="1"/>
  <c r="G526" i="1"/>
  <c r="E526" i="1"/>
  <c r="H525" i="1"/>
  <c r="H524" i="1"/>
  <c r="H523" i="1"/>
  <c r="H522" i="1"/>
  <c r="H521" i="1"/>
  <c r="H526" i="1" s="1"/>
  <c r="L519" i="1"/>
  <c r="I519" i="1"/>
  <c r="G519" i="1"/>
  <c r="E519" i="1"/>
  <c r="H518" i="1"/>
  <c r="F518" i="1"/>
  <c r="H517" i="1"/>
  <c r="F517" i="1"/>
  <c r="H516" i="1"/>
  <c r="J516" i="1" s="1"/>
  <c r="F516" i="1"/>
  <c r="H515" i="1"/>
  <c r="J515" i="1" s="1"/>
  <c r="F515" i="1"/>
  <c r="H514" i="1"/>
  <c r="F514" i="1"/>
  <c r="H513" i="1"/>
  <c r="F513" i="1"/>
  <c r="H512" i="1"/>
  <c r="F512" i="1"/>
  <c r="H511" i="1"/>
  <c r="F511" i="1"/>
  <c r="H510" i="1"/>
  <c r="F510" i="1"/>
  <c r="H509" i="1"/>
  <c r="F509" i="1"/>
  <c r="H508" i="1"/>
  <c r="F508" i="1"/>
  <c r="H507" i="1"/>
  <c r="F507" i="1"/>
  <c r="H506" i="1"/>
  <c r="J506" i="1" s="1"/>
  <c r="F506" i="1"/>
  <c r="H505" i="1"/>
  <c r="J505" i="1" s="1"/>
  <c r="F505" i="1"/>
  <c r="H504" i="1"/>
  <c r="F504" i="1"/>
  <c r="H503" i="1"/>
  <c r="F503" i="1"/>
  <c r="H500" i="1"/>
  <c r="J500" i="1" s="1"/>
  <c r="F500" i="1"/>
  <c r="H499" i="1"/>
  <c r="J499" i="1" s="1"/>
  <c r="F499" i="1"/>
  <c r="H498" i="1"/>
  <c r="F498" i="1"/>
  <c r="H497" i="1"/>
  <c r="F497" i="1"/>
  <c r="I493" i="1"/>
  <c r="G493" i="1"/>
  <c r="F493" i="1"/>
  <c r="F494" i="1" s="1"/>
  <c r="E493" i="1"/>
  <c r="H492" i="1"/>
  <c r="J492" i="1" s="1"/>
  <c r="H491" i="1"/>
  <c r="J491" i="1" s="1"/>
  <c r="L488" i="1"/>
  <c r="J488" i="1"/>
  <c r="I488" i="1"/>
  <c r="G488" i="1"/>
  <c r="E488" i="1"/>
  <c r="H487" i="1"/>
  <c r="H486" i="1"/>
  <c r="H485" i="1"/>
  <c r="L481" i="1"/>
  <c r="J481" i="1"/>
  <c r="I481" i="1"/>
  <c r="G481" i="1"/>
  <c r="E481" i="1"/>
  <c r="H480" i="1"/>
  <c r="H479" i="1"/>
  <c r="H478" i="1"/>
  <c r="H477" i="1"/>
  <c r="H476" i="1"/>
  <c r="L474" i="1"/>
  <c r="I474" i="1"/>
  <c r="G474" i="1"/>
  <c r="E474" i="1"/>
  <c r="H473" i="1"/>
  <c r="F473" i="1"/>
  <c r="H472" i="1"/>
  <c r="F472" i="1"/>
  <c r="H471" i="1"/>
  <c r="J471" i="1" s="1"/>
  <c r="F471" i="1"/>
  <c r="H470" i="1"/>
  <c r="J470" i="1" s="1"/>
  <c r="F470" i="1"/>
  <c r="H469" i="1"/>
  <c r="F469" i="1"/>
  <c r="H468" i="1"/>
  <c r="H466" i="1"/>
  <c r="F466" i="1"/>
  <c r="H465" i="1"/>
  <c r="F465" i="1"/>
  <c r="H464" i="1"/>
  <c r="F464" i="1"/>
  <c r="H462" i="1"/>
  <c r="F462" i="1"/>
  <c r="H461" i="1"/>
  <c r="J461" i="1" s="1"/>
  <c r="F461" i="1"/>
  <c r="H460" i="1"/>
  <c r="J460" i="1" s="1"/>
  <c r="F460" i="1"/>
  <c r="H459" i="1"/>
  <c r="F459" i="1"/>
  <c r="H458" i="1"/>
  <c r="F458" i="1"/>
  <c r="H455" i="1"/>
  <c r="J455" i="1" s="1"/>
  <c r="F455" i="1"/>
  <c r="H454" i="1"/>
  <c r="J454" i="1" s="1"/>
  <c r="F454" i="1"/>
  <c r="H453" i="1"/>
  <c r="F453" i="1"/>
  <c r="H452" i="1"/>
  <c r="F452" i="1"/>
  <c r="I448" i="1"/>
  <c r="G448" i="1"/>
  <c r="F448" i="1"/>
  <c r="F449" i="1" s="1"/>
  <c r="E448" i="1"/>
  <c r="H447" i="1"/>
  <c r="J447" i="1" s="1"/>
  <c r="H446" i="1"/>
  <c r="J446" i="1" s="1"/>
  <c r="L443" i="1"/>
  <c r="J443" i="1"/>
  <c r="I443" i="1"/>
  <c r="G443" i="1"/>
  <c r="E443" i="1"/>
  <c r="H442" i="1"/>
  <c r="H441" i="1"/>
  <c r="H440" i="1"/>
  <c r="L436" i="1"/>
  <c r="J436" i="1"/>
  <c r="I436" i="1"/>
  <c r="G436" i="1"/>
  <c r="E436" i="1"/>
  <c r="H435" i="1"/>
  <c r="H434" i="1"/>
  <c r="H433" i="1"/>
  <c r="H432" i="1"/>
  <c r="H431" i="1"/>
  <c r="L429" i="1"/>
  <c r="I429" i="1"/>
  <c r="G429" i="1"/>
  <c r="E429" i="1"/>
  <c r="H428" i="1"/>
  <c r="F428" i="1"/>
  <c r="H427" i="1"/>
  <c r="F427" i="1"/>
  <c r="H426" i="1"/>
  <c r="J426" i="1" s="1"/>
  <c r="F426" i="1"/>
  <c r="H425" i="1"/>
  <c r="J425" i="1" s="1"/>
  <c r="F425" i="1"/>
  <c r="H424" i="1"/>
  <c r="F424" i="1"/>
  <c r="H423" i="1"/>
  <c r="F423" i="1"/>
  <c r="H422" i="1"/>
  <c r="F422" i="1"/>
  <c r="H421" i="1"/>
  <c r="F421" i="1"/>
  <c r="H420" i="1"/>
  <c r="F420" i="1"/>
  <c r="H419" i="1"/>
  <c r="F419" i="1"/>
  <c r="H418" i="1"/>
  <c r="F418" i="1"/>
  <c r="H417" i="1"/>
  <c r="F417" i="1"/>
  <c r="H416" i="1"/>
  <c r="J416" i="1" s="1"/>
  <c r="F416" i="1"/>
  <c r="H415" i="1"/>
  <c r="J415" i="1" s="1"/>
  <c r="F415" i="1"/>
  <c r="H414" i="1"/>
  <c r="F414" i="1"/>
  <c r="H413" i="1"/>
  <c r="F413" i="1"/>
  <c r="H410" i="1"/>
  <c r="J410" i="1" s="1"/>
  <c r="F410" i="1"/>
  <c r="H409" i="1"/>
  <c r="J409" i="1" s="1"/>
  <c r="F409" i="1"/>
  <c r="H408" i="1"/>
  <c r="F408" i="1"/>
  <c r="H407" i="1"/>
  <c r="F407" i="1"/>
  <c r="I403" i="1"/>
  <c r="G403" i="1"/>
  <c r="F403" i="1"/>
  <c r="F404" i="1" s="1"/>
  <c r="E403" i="1"/>
  <c r="H402" i="1"/>
  <c r="J402" i="1" s="1"/>
  <c r="H401" i="1"/>
  <c r="L398" i="1"/>
  <c r="J398" i="1"/>
  <c r="I398" i="1"/>
  <c r="G398" i="1"/>
  <c r="E398" i="1"/>
  <c r="H397" i="1"/>
  <c r="H396" i="1"/>
  <c r="H395" i="1"/>
  <c r="L391" i="1"/>
  <c r="J391" i="1"/>
  <c r="I391" i="1"/>
  <c r="G391" i="1"/>
  <c r="E391" i="1"/>
  <c r="H390" i="1"/>
  <c r="H389" i="1"/>
  <c r="H388" i="1"/>
  <c r="H387" i="1"/>
  <c r="H386" i="1"/>
  <c r="L384" i="1"/>
  <c r="I384" i="1"/>
  <c r="G384" i="1"/>
  <c r="E384" i="1"/>
  <c r="H383" i="1"/>
  <c r="F383" i="1"/>
  <c r="H382" i="1"/>
  <c r="F382" i="1"/>
  <c r="H381" i="1"/>
  <c r="J381" i="1" s="1"/>
  <c r="F381" i="1"/>
  <c r="H380" i="1"/>
  <c r="J380" i="1" s="1"/>
  <c r="F380" i="1"/>
  <c r="H379" i="1"/>
  <c r="F379" i="1"/>
  <c r="H378" i="1"/>
  <c r="F378" i="1"/>
  <c r="H377" i="1"/>
  <c r="F377" i="1"/>
  <c r="H375" i="1"/>
  <c r="F375" i="1"/>
  <c r="H374" i="1"/>
  <c r="F374" i="1"/>
  <c r="H373" i="1"/>
  <c r="F373" i="1"/>
  <c r="H372" i="1"/>
  <c r="F372" i="1"/>
  <c r="H371" i="1"/>
  <c r="J371" i="1" s="1"/>
  <c r="F371" i="1"/>
  <c r="H370" i="1"/>
  <c r="J370" i="1" s="1"/>
  <c r="F370" i="1"/>
  <c r="H369" i="1"/>
  <c r="F369" i="1"/>
  <c r="H368" i="1"/>
  <c r="F368" i="1"/>
  <c r="H365" i="1"/>
  <c r="J365" i="1" s="1"/>
  <c r="F365" i="1"/>
  <c r="H364" i="1"/>
  <c r="J364" i="1" s="1"/>
  <c r="F364" i="1"/>
  <c r="H363" i="1"/>
  <c r="F363" i="1"/>
  <c r="H362" i="1"/>
  <c r="F362" i="1"/>
  <c r="I358" i="1"/>
  <c r="G358" i="1"/>
  <c r="F358" i="1"/>
  <c r="F359" i="1" s="1"/>
  <c r="E358" i="1"/>
  <c r="H357" i="1"/>
  <c r="J357" i="1" s="1"/>
  <c r="H356" i="1"/>
  <c r="J356" i="1" s="1"/>
  <c r="L353" i="1"/>
  <c r="J353" i="1"/>
  <c r="I353" i="1"/>
  <c r="G353" i="1"/>
  <c r="E353" i="1"/>
  <c r="H352" i="1"/>
  <c r="H351" i="1"/>
  <c r="H350" i="1"/>
  <c r="L346" i="1"/>
  <c r="J346" i="1"/>
  <c r="I346" i="1"/>
  <c r="G346" i="1"/>
  <c r="E346" i="1"/>
  <c r="H345" i="1"/>
  <c r="H343" i="1"/>
  <c r="H342" i="1"/>
  <c r="H341" i="1"/>
  <c r="L339" i="1"/>
  <c r="I339" i="1"/>
  <c r="G339" i="1"/>
  <c r="E339" i="1"/>
  <c r="H338" i="1"/>
  <c r="F338" i="1"/>
  <c r="H337" i="1"/>
  <c r="F337" i="1"/>
  <c r="H336" i="1"/>
  <c r="J336" i="1" s="1"/>
  <c r="F336" i="1"/>
  <c r="H335" i="1"/>
  <c r="J335" i="1" s="1"/>
  <c r="F335" i="1"/>
  <c r="H334" i="1"/>
  <c r="F334" i="1"/>
  <c r="H333" i="1"/>
  <c r="F333" i="1"/>
  <c r="H332" i="1"/>
  <c r="F332" i="1"/>
  <c r="H330" i="1"/>
  <c r="F330" i="1"/>
  <c r="H329" i="1"/>
  <c r="F329" i="1"/>
  <c r="H328" i="1"/>
  <c r="F328" i="1"/>
  <c r="H327" i="1"/>
  <c r="F327" i="1"/>
  <c r="H326" i="1"/>
  <c r="J326" i="1" s="1"/>
  <c r="F326" i="1"/>
  <c r="H325" i="1"/>
  <c r="J325" i="1" s="1"/>
  <c r="F325" i="1"/>
  <c r="H324" i="1"/>
  <c r="F324" i="1"/>
  <c r="H323" i="1"/>
  <c r="F323" i="1"/>
  <c r="H321" i="1"/>
  <c r="F321" i="1"/>
  <c r="H320" i="1"/>
  <c r="J320" i="1" s="1"/>
  <c r="F320" i="1"/>
  <c r="H319" i="1"/>
  <c r="J319" i="1" s="1"/>
  <c r="F319" i="1"/>
  <c r="H318" i="1"/>
  <c r="F318" i="1"/>
  <c r="H317" i="1"/>
  <c r="F317" i="1"/>
  <c r="I313" i="1"/>
  <c r="G313" i="1"/>
  <c r="F313" i="1"/>
  <c r="E313" i="1"/>
  <c r="H312" i="1"/>
  <c r="J312" i="1" s="1"/>
  <c r="H311" i="1"/>
  <c r="J311" i="1" s="1"/>
  <c r="L308" i="1"/>
  <c r="J308" i="1"/>
  <c r="I308" i="1"/>
  <c r="G308" i="1"/>
  <c r="E308" i="1"/>
  <c r="H306" i="1"/>
  <c r="H305" i="1"/>
  <c r="H308" i="1" s="1"/>
  <c r="L301" i="1"/>
  <c r="J301" i="1"/>
  <c r="I301" i="1"/>
  <c r="G301" i="1"/>
  <c r="E301" i="1"/>
  <c r="H300" i="1"/>
  <c r="H298" i="1"/>
  <c r="H297" i="1"/>
  <c r="H296" i="1"/>
  <c r="L294" i="1"/>
  <c r="I294" i="1"/>
  <c r="G294" i="1"/>
  <c r="E294" i="1"/>
  <c r="H293" i="1"/>
  <c r="F293" i="1"/>
  <c r="F292" i="1"/>
  <c r="H291" i="1"/>
  <c r="J291" i="1" s="1"/>
  <c r="F291" i="1"/>
  <c r="H290" i="1"/>
  <c r="J290" i="1" s="1"/>
  <c r="F290" i="1"/>
  <c r="H289" i="1"/>
  <c r="F289" i="1"/>
  <c r="H288" i="1"/>
  <c r="F288" i="1"/>
  <c r="H287" i="1"/>
  <c r="F287" i="1"/>
  <c r="H285" i="1"/>
  <c r="F285" i="1"/>
  <c r="H284" i="1"/>
  <c r="F284" i="1"/>
  <c r="H283" i="1"/>
  <c r="F283" i="1"/>
  <c r="H282" i="1"/>
  <c r="F282" i="1"/>
  <c r="H281" i="1"/>
  <c r="J281" i="1" s="1"/>
  <c r="F281" i="1"/>
  <c r="H280" i="1"/>
  <c r="J280" i="1" s="1"/>
  <c r="F280" i="1"/>
  <c r="H279" i="1"/>
  <c r="F279" i="1"/>
  <c r="H278" i="1"/>
  <c r="F278" i="1"/>
  <c r="H276" i="1"/>
  <c r="F276" i="1"/>
  <c r="H275" i="1"/>
  <c r="J275" i="1" s="1"/>
  <c r="F275" i="1"/>
  <c r="H274" i="1"/>
  <c r="J274" i="1" s="1"/>
  <c r="F274" i="1"/>
  <c r="H273" i="1"/>
  <c r="F273" i="1"/>
  <c r="H272" i="1"/>
  <c r="F272" i="1"/>
  <c r="I268" i="1"/>
  <c r="G268" i="1"/>
  <c r="F268" i="1"/>
  <c r="F269" i="1" s="1"/>
  <c r="E268" i="1"/>
  <c r="H267" i="1"/>
  <c r="J267" i="1" s="1"/>
  <c r="H266" i="1"/>
  <c r="J266" i="1" s="1"/>
  <c r="L263" i="1"/>
  <c r="J263" i="1"/>
  <c r="I263" i="1"/>
  <c r="G263" i="1"/>
  <c r="E263" i="1"/>
  <c r="H262" i="1"/>
  <c r="H261" i="1"/>
  <c r="H260" i="1"/>
  <c r="L256" i="1"/>
  <c r="J256" i="1"/>
  <c r="I256" i="1"/>
  <c r="G256" i="1"/>
  <c r="E256" i="1"/>
  <c r="H255" i="1"/>
  <c r="H254" i="1"/>
  <c r="H253" i="1"/>
  <c r="H252" i="1"/>
  <c r="H251" i="1"/>
  <c r="H256" i="1" s="1"/>
  <c r="L249" i="1"/>
  <c r="I249" i="1"/>
  <c r="G249" i="1"/>
  <c r="E249" i="1"/>
  <c r="H248" i="1"/>
  <c r="F248" i="1"/>
  <c r="H247" i="1"/>
  <c r="F247" i="1"/>
  <c r="H246" i="1"/>
  <c r="J246" i="1" s="1"/>
  <c r="F246" i="1"/>
  <c r="H245" i="1"/>
  <c r="J245" i="1" s="1"/>
  <c r="F245" i="1"/>
  <c r="H243" i="1"/>
  <c r="F243" i="1"/>
  <c r="H242" i="1"/>
  <c r="F242" i="1"/>
  <c r="H241" i="1"/>
  <c r="F241" i="1"/>
  <c r="F240" i="1"/>
  <c r="H239" i="1"/>
  <c r="F239" i="1"/>
  <c r="H238" i="1"/>
  <c r="F238" i="1"/>
  <c r="H237" i="1"/>
  <c r="F237" i="1"/>
  <c r="H236" i="1"/>
  <c r="J236" i="1" s="1"/>
  <c r="F236" i="1"/>
  <c r="H235" i="1"/>
  <c r="J235" i="1" s="1"/>
  <c r="F235" i="1"/>
  <c r="H234" i="1"/>
  <c r="F234" i="1"/>
  <c r="H233" i="1"/>
  <c r="F233" i="1"/>
  <c r="H232" i="1"/>
  <c r="F232" i="1"/>
  <c r="H231" i="1"/>
  <c r="F231" i="1"/>
  <c r="H230" i="1"/>
  <c r="J230" i="1" s="1"/>
  <c r="F230" i="1"/>
  <c r="H229" i="1"/>
  <c r="J229" i="1" s="1"/>
  <c r="F229" i="1"/>
  <c r="H228" i="1"/>
  <c r="F228" i="1"/>
  <c r="H227" i="1"/>
  <c r="F227" i="1"/>
  <c r="I223" i="1"/>
  <c r="G223" i="1"/>
  <c r="F223" i="1"/>
  <c r="E223" i="1"/>
  <c r="H222" i="1"/>
  <c r="J222" i="1" s="1"/>
  <c r="H221" i="1"/>
  <c r="J221" i="1" s="1"/>
  <c r="L218" i="1"/>
  <c r="J218" i="1"/>
  <c r="I218" i="1"/>
  <c r="G218" i="1"/>
  <c r="E218" i="1"/>
  <c r="H217" i="1"/>
  <c r="H216" i="1"/>
  <c r="H218" i="1" s="1"/>
  <c r="L211" i="1"/>
  <c r="J211" i="1"/>
  <c r="I211" i="1"/>
  <c r="G211" i="1"/>
  <c r="E211" i="1"/>
  <c r="H210" i="1"/>
  <c r="H209" i="1"/>
  <c r="H208" i="1"/>
  <c r="H207" i="1"/>
  <c r="H206" i="1"/>
  <c r="L204" i="1"/>
  <c r="I204" i="1"/>
  <c r="G204" i="1"/>
  <c r="E204" i="1"/>
  <c r="H203" i="1"/>
  <c r="F203" i="1"/>
  <c r="H202" i="1"/>
  <c r="F202" i="1"/>
  <c r="H201" i="1"/>
  <c r="F201" i="1"/>
  <c r="H200" i="1"/>
  <c r="J200" i="1" s="1"/>
  <c r="F200" i="1"/>
  <c r="H199" i="1"/>
  <c r="F199" i="1"/>
  <c r="H198" i="1"/>
  <c r="F198" i="1"/>
  <c r="H197" i="1"/>
  <c r="F197" i="1"/>
  <c r="H196" i="1"/>
  <c r="F196" i="1"/>
  <c r="H194" i="1"/>
  <c r="F194" i="1"/>
  <c r="H193" i="1"/>
  <c r="F193" i="1"/>
  <c r="H192" i="1"/>
  <c r="F192" i="1"/>
  <c r="H191" i="1"/>
  <c r="J191" i="1" s="1"/>
  <c r="F191" i="1"/>
  <c r="H190" i="1"/>
  <c r="J190" i="1" s="1"/>
  <c r="F190" i="1"/>
  <c r="H189" i="1"/>
  <c r="F189" i="1"/>
  <c r="H188" i="1"/>
  <c r="F188" i="1"/>
  <c r="H187" i="1"/>
  <c r="F187" i="1"/>
  <c r="H186" i="1"/>
  <c r="F186" i="1"/>
  <c r="H185" i="1"/>
  <c r="J185" i="1" s="1"/>
  <c r="F185" i="1"/>
  <c r="H184" i="1"/>
  <c r="J184" i="1" s="1"/>
  <c r="F184" i="1"/>
  <c r="H183" i="1"/>
  <c r="F183" i="1"/>
  <c r="H182" i="1"/>
  <c r="F182" i="1"/>
  <c r="I178" i="1"/>
  <c r="G178" i="1"/>
  <c r="F178" i="1"/>
  <c r="F179" i="1" s="1"/>
  <c r="E178" i="1"/>
  <c r="H177" i="1"/>
  <c r="J177" i="1" s="1"/>
  <c r="H176" i="1"/>
  <c r="J176" i="1" s="1"/>
  <c r="L173" i="1"/>
  <c r="J173" i="1"/>
  <c r="I173" i="1"/>
  <c r="G173" i="1"/>
  <c r="E173" i="1"/>
  <c r="H172" i="1"/>
  <c r="H171" i="1"/>
  <c r="L166" i="1"/>
  <c r="J166" i="1"/>
  <c r="I166" i="1"/>
  <c r="G166" i="1"/>
  <c r="E166" i="1"/>
  <c r="H165" i="1"/>
  <c r="H163" i="1"/>
  <c r="H162" i="1"/>
  <c r="H161" i="1"/>
  <c r="H158" i="1"/>
  <c r="F158" i="1"/>
  <c r="H157" i="1"/>
  <c r="F157" i="1"/>
  <c r="H156" i="1"/>
  <c r="F156" i="1"/>
  <c r="H155" i="1"/>
  <c r="J155" i="1" s="1"/>
  <c r="F155" i="1"/>
  <c r="H154" i="1"/>
  <c r="F154" i="1"/>
  <c r="H151" i="1"/>
  <c r="F151" i="1"/>
  <c r="H150" i="1"/>
  <c r="F150" i="1"/>
  <c r="H149" i="1"/>
  <c r="F149" i="1"/>
  <c r="H147" i="1"/>
  <c r="F147" i="1"/>
  <c r="H146" i="1"/>
  <c r="J146" i="1" s="1"/>
  <c r="F146" i="1"/>
  <c r="H145" i="1"/>
  <c r="J145" i="1" s="1"/>
  <c r="F145" i="1"/>
  <c r="H144" i="1"/>
  <c r="F144" i="1"/>
  <c r="H143" i="1"/>
  <c r="F143" i="1"/>
  <c r="H142" i="1"/>
  <c r="F142" i="1"/>
  <c r="H141" i="1"/>
  <c r="F141" i="1"/>
  <c r="H140" i="1"/>
  <c r="J140" i="1" s="1"/>
  <c r="F140" i="1"/>
  <c r="H139" i="1"/>
  <c r="J139" i="1" s="1"/>
  <c r="F139" i="1"/>
  <c r="H138" i="1"/>
  <c r="F138" i="1"/>
  <c r="H137" i="1"/>
  <c r="F137" i="1"/>
  <c r="I133" i="1"/>
  <c r="G133" i="1"/>
  <c r="F133" i="1"/>
  <c r="F134" i="1" s="1"/>
  <c r="E133" i="1"/>
  <c r="H132" i="1"/>
  <c r="J132" i="1" s="1"/>
  <c r="H131" i="1"/>
  <c r="J131" i="1" s="1"/>
  <c r="L128" i="1"/>
  <c r="J128" i="1"/>
  <c r="I128" i="1"/>
  <c r="G128" i="1"/>
  <c r="E128" i="1"/>
  <c r="H127" i="1"/>
  <c r="H126" i="1"/>
  <c r="H125" i="1"/>
  <c r="H128" i="1" s="1"/>
  <c r="L121" i="1"/>
  <c r="J121" i="1"/>
  <c r="I121" i="1"/>
  <c r="G121" i="1"/>
  <c r="E121" i="1"/>
  <c r="H120" i="1"/>
  <c r="H119" i="1"/>
  <c r="H118" i="1"/>
  <c r="H117" i="1"/>
  <c r="H116" i="1"/>
  <c r="L114" i="1"/>
  <c r="I114" i="1"/>
  <c r="G114" i="1"/>
  <c r="E114" i="1"/>
  <c r="H113" i="1"/>
  <c r="F113" i="1"/>
  <c r="H112" i="1"/>
  <c r="F112" i="1"/>
  <c r="H111" i="1"/>
  <c r="F111" i="1"/>
  <c r="H110" i="1"/>
  <c r="J110" i="1" s="1"/>
  <c r="F110" i="1"/>
  <c r="H109" i="1"/>
  <c r="F109" i="1"/>
  <c r="H108" i="1"/>
  <c r="F108" i="1"/>
  <c r="H106" i="1"/>
  <c r="F106" i="1"/>
  <c r="H105" i="1"/>
  <c r="F105" i="1"/>
  <c r="H104" i="1"/>
  <c r="F104" i="1"/>
  <c r="H103" i="1"/>
  <c r="F103" i="1"/>
  <c r="H102" i="1"/>
  <c r="F102" i="1"/>
  <c r="H101" i="1"/>
  <c r="J101" i="1" s="1"/>
  <c r="F101" i="1"/>
  <c r="H100" i="1"/>
  <c r="J100" i="1" s="1"/>
  <c r="F100" i="1"/>
  <c r="H99" i="1"/>
  <c r="F99" i="1"/>
  <c r="H98" i="1"/>
  <c r="F98" i="1"/>
  <c r="H97" i="1"/>
  <c r="F97" i="1"/>
  <c r="H96" i="1"/>
  <c r="F96" i="1"/>
  <c r="H95" i="1"/>
  <c r="J95" i="1" s="1"/>
  <c r="F95" i="1"/>
  <c r="H94" i="1"/>
  <c r="J94" i="1" s="1"/>
  <c r="F94" i="1"/>
  <c r="H93" i="1"/>
  <c r="F93" i="1"/>
  <c r="H92" i="1"/>
  <c r="F92" i="1"/>
  <c r="I88" i="1"/>
  <c r="G88" i="1"/>
  <c r="F88" i="1"/>
  <c r="F89" i="1" s="1"/>
  <c r="E88" i="1"/>
  <c r="H87" i="1"/>
  <c r="J87" i="1" s="1"/>
  <c r="H86" i="1"/>
  <c r="H88" i="1" s="1"/>
  <c r="L83" i="1"/>
  <c r="J83" i="1"/>
  <c r="I83" i="1"/>
  <c r="G83" i="1"/>
  <c r="E83" i="1"/>
  <c r="H82" i="1"/>
  <c r="H81" i="1"/>
  <c r="H80" i="1"/>
  <c r="L76" i="1"/>
  <c r="J76" i="1"/>
  <c r="I76" i="1"/>
  <c r="G76" i="1"/>
  <c r="E76" i="1"/>
  <c r="H75" i="1"/>
  <c r="H74" i="1"/>
  <c r="H73" i="1"/>
  <c r="H72" i="1"/>
  <c r="H71" i="1"/>
  <c r="L69" i="1"/>
  <c r="I69" i="1"/>
  <c r="G69" i="1"/>
  <c r="E69" i="1"/>
  <c r="H68" i="1"/>
  <c r="F68" i="1"/>
  <c r="H67" i="1"/>
  <c r="F67" i="1"/>
  <c r="H66" i="1"/>
  <c r="F66" i="1"/>
  <c r="H65" i="1"/>
  <c r="J65" i="1" s="1"/>
  <c r="F65" i="1"/>
  <c r="H64" i="1"/>
  <c r="F64" i="1"/>
  <c r="H63" i="1"/>
  <c r="F63" i="1"/>
  <c r="H61" i="1"/>
  <c r="F61" i="1"/>
  <c r="H60" i="1"/>
  <c r="F60" i="1"/>
  <c r="H59" i="1"/>
  <c r="F59" i="1"/>
  <c r="H58" i="1"/>
  <c r="F58" i="1"/>
  <c r="H57" i="1"/>
  <c r="F57" i="1"/>
  <c r="H56" i="1"/>
  <c r="J56" i="1" s="1"/>
  <c r="F56" i="1"/>
  <c r="H55" i="1"/>
  <c r="J55" i="1" s="1"/>
  <c r="F55" i="1"/>
  <c r="H54" i="1"/>
  <c r="F54" i="1"/>
  <c r="H53" i="1"/>
  <c r="F53" i="1"/>
  <c r="H52" i="1"/>
  <c r="F52" i="1"/>
  <c r="H51" i="1"/>
  <c r="F51" i="1"/>
  <c r="H50" i="1"/>
  <c r="J50" i="1" s="1"/>
  <c r="F50" i="1"/>
  <c r="H49" i="1"/>
  <c r="J49" i="1" s="1"/>
  <c r="F49" i="1"/>
  <c r="H48" i="1"/>
  <c r="F48" i="1"/>
  <c r="H47" i="1"/>
  <c r="F47" i="1"/>
  <c r="I44" i="1"/>
  <c r="G44" i="1"/>
  <c r="F44" i="1"/>
  <c r="F45" i="1" s="1"/>
  <c r="E44" i="1"/>
  <c r="H43" i="1"/>
  <c r="J43" i="1" s="1"/>
  <c r="H42" i="1"/>
  <c r="J42" i="1" s="1"/>
  <c r="L39" i="1"/>
  <c r="J39" i="1"/>
  <c r="I39" i="1"/>
  <c r="G39" i="1"/>
  <c r="E39" i="1"/>
  <c r="H38" i="1"/>
  <c r="H37" i="1"/>
  <c r="H36" i="1"/>
  <c r="L32" i="1"/>
  <c r="J32" i="1"/>
  <c r="I32" i="1"/>
  <c r="G32" i="1"/>
  <c r="E32" i="1"/>
  <c r="H31" i="1"/>
  <c r="H30" i="1"/>
  <c r="H29" i="1"/>
  <c r="H28" i="1"/>
  <c r="H27" i="1"/>
  <c r="L25" i="1"/>
  <c r="I25" i="1"/>
  <c r="G25" i="1"/>
  <c r="E25" i="1"/>
  <c r="H24" i="1"/>
  <c r="F24" i="1"/>
  <c r="H23" i="1"/>
  <c r="F23" i="1"/>
  <c r="H22" i="1"/>
  <c r="F22" i="1"/>
  <c r="H21" i="1"/>
  <c r="J21" i="1" s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J12" i="1" s="1"/>
  <c r="F12" i="1"/>
  <c r="H11" i="1"/>
  <c r="J11" i="1" s="1"/>
  <c r="F11" i="1"/>
  <c r="H10" i="1"/>
  <c r="F10" i="1"/>
  <c r="H9" i="1"/>
  <c r="F9" i="1"/>
  <c r="H8" i="1"/>
  <c r="F8" i="1"/>
  <c r="H7" i="1"/>
  <c r="F7" i="1"/>
  <c r="H6" i="1"/>
  <c r="J6" i="1" s="1"/>
  <c r="F6" i="1"/>
  <c r="H5" i="1"/>
  <c r="J5" i="1" s="1"/>
  <c r="F5" i="1"/>
  <c r="H4" i="1"/>
  <c r="F4" i="1"/>
  <c r="H3" i="1"/>
  <c r="F3" i="1"/>
  <c r="H680" i="1" l="1"/>
  <c r="H904" i="1"/>
  <c r="H962" i="1"/>
  <c r="E1200" i="1"/>
  <c r="J666" i="1"/>
  <c r="J681" i="1" s="1"/>
  <c r="G634" i="1"/>
  <c r="H1245" i="1"/>
  <c r="J1245" i="1" s="1"/>
  <c r="H1334" i="1"/>
  <c r="E174" i="1"/>
  <c r="G489" i="1"/>
  <c r="H858" i="1"/>
  <c r="H866" i="1" s="1"/>
  <c r="H871" i="1" s="1"/>
  <c r="E912" i="1"/>
  <c r="I1194" i="1"/>
  <c r="I1199" i="1" s="1"/>
  <c r="H1273" i="1"/>
  <c r="H732" i="1"/>
  <c r="F713" i="1"/>
  <c r="G174" i="1"/>
  <c r="I444" i="1"/>
  <c r="I449" i="1" s="1"/>
  <c r="H443" i="1"/>
  <c r="H588" i="1"/>
  <c r="H774" i="1"/>
  <c r="H806" i="1"/>
  <c r="H821" i="1" s="1"/>
  <c r="I174" i="1"/>
  <c r="I179" i="1" s="1"/>
  <c r="J1194" i="1"/>
  <c r="F760" i="1"/>
  <c r="H436" i="1"/>
  <c r="E821" i="1"/>
  <c r="D827" i="1" s="1"/>
  <c r="H865" i="1"/>
  <c r="J1050" i="1"/>
  <c r="F1320" i="1"/>
  <c r="J174" i="1"/>
  <c r="G84" i="1"/>
  <c r="H685" i="1"/>
  <c r="H813" i="1"/>
  <c r="G866" i="1"/>
  <c r="G1098" i="1"/>
  <c r="H1146" i="1"/>
  <c r="H1226" i="1"/>
  <c r="I84" i="1"/>
  <c r="I89" i="1" s="1"/>
  <c r="H83" i="1"/>
  <c r="H173" i="1"/>
  <c r="E872" i="1"/>
  <c r="H957" i="1"/>
  <c r="F989" i="1"/>
  <c r="I219" i="1"/>
  <c r="I224" i="1" s="1"/>
  <c r="F666" i="1"/>
  <c r="H760" i="1"/>
  <c r="E775" i="1"/>
  <c r="D781" i="1" s="1"/>
  <c r="H1097" i="1"/>
  <c r="I1147" i="1"/>
  <c r="I1152" i="1" s="1"/>
  <c r="H1198" i="1"/>
  <c r="J1198" i="1" s="1"/>
  <c r="J25" i="1"/>
  <c r="J40" i="1" s="1"/>
  <c r="E309" i="1"/>
  <c r="I354" i="1"/>
  <c r="I359" i="1" s="1"/>
  <c r="G775" i="1"/>
  <c r="H911" i="1"/>
  <c r="G912" i="1"/>
  <c r="H1090" i="1"/>
  <c r="H1098" i="1" s="1"/>
  <c r="H1103" i="1" s="1"/>
  <c r="E1153" i="1"/>
  <c r="D1294" i="1" s="1"/>
  <c r="H1233" i="1"/>
  <c r="H1320" i="1"/>
  <c r="F384" i="1"/>
  <c r="G444" i="1"/>
  <c r="H533" i="1"/>
  <c r="H1042" i="1"/>
  <c r="J1098" i="1"/>
  <c r="F1132" i="1"/>
  <c r="G1147" i="1"/>
  <c r="H1132" i="1"/>
  <c r="H1147" i="1" s="1"/>
  <c r="H1152" i="1" s="1"/>
  <c r="H1240" i="1"/>
  <c r="H1386" i="1"/>
  <c r="J1386" i="1" s="1"/>
  <c r="G264" i="1"/>
  <c r="F619" i="1"/>
  <c r="J732" i="1"/>
  <c r="H851" i="1"/>
  <c r="H916" i="1"/>
  <c r="E1382" i="1"/>
  <c r="E444" i="1"/>
  <c r="E687" i="1"/>
  <c r="D918" i="1" s="1"/>
  <c r="J962" i="1"/>
  <c r="I1004" i="1"/>
  <c r="I1009" i="1" s="1"/>
  <c r="J1054" i="1"/>
  <c r="J1102" i="1"/>
  <c r="H1186" i="1"/>
  <c r="G1382" i="1"/>
  <c r="E354" i="1"/>
  <c r="H32" i="1"/>
  <c r="I399" i="1"/>
  <c r="I404" i="1" s="1"/>
  <c r="H488" i="1"/>
  <c r="H583" i="1"/>
  <c r="G681" i="1"/>
  <c r="J1147" i="1"/>
  <c r="I1382" i="1"/>
  <c r="I1387" i="1" s="1"/>
  <c r="H121" i="1"/>
  <c r="H481" i="1"/>
  <c r="I681" i="1"/>
  <c r="I686" i="1" s="1"/>
  <c r="H996" i="1"/>
  <c r="E1104" i="1"/>
  <c r="H1139" i="1"/>
  <c r="E84" i="1"/>
  <c r="F25" i="1"/>
  <c r="E129" i="1"/>
  <c r="H211" i="1"/>
  <c r="H391" i="1"/>
  <c r="H638" i="1"/>
  <c r="H673" i="1"/>
  <c r="F806" i="1"/>
  <c r="I1335" i="1"/>
  <c r="I1340" i="1" s="1"/>
  <c r="I40" i="1"/>
  <c r="I45" i="1" s="1"/>
  <c r="E219" i="1"/>
  <c r="E734" i="1" s="1"/>
  <c r="H538" i="1"/>
  <c r="J538" i="1" s="1"/>
  <c r="H825" i="1"/>
  <c r="J825" i="1" s="1"/>
  <c r="J870" i="1"/>
  <c r="H989" i="1"/>
  <c r="H1004" i="1" s="1"/>
  <c r="H1009" i="1" s="1"/>
  <c r="H1083" i="1"/>
  <c r="I1098" i="1"/>
  <c r="I1103" i="1" s="1"/>
  <c r="G1194" i="1"/>
  <c r="H1179" i="1"/>
  <c r="H1194" i="1" s="1"/>
  <c r="G1335" i="1"/>
  <c r="H1374" i="1"/>
  <c r="L1183" i="10"/>
  <c r="L1226" i="10" s="1"/>
  <c r="L1274" i="10" s="1"/>
  <c r="F1367" i="1"/>
  <c r="E1388" i="1"/>
  <c r="H1367" i="1"/>
  <c r="H1382" i="1" s="1"/>
  <c r="J1385" i="1"/>
  <c r="K1228" i="10"/>
  <c r="L1116" i="10"/>
  <c r="L1143" i="10" s="1"/>
  <c r="L1176" i="10" s="1"/>
  <c r="L1219" i="10" s="1"/>
  <c r="L1267" i="10" s="1"/>
  <c r="L1121" i="10"/>
  <c r="L1148" i="10" s="1"/>
  <c r="L1181" i="10" s="1"/>
  <c r="L1224" i="10" s="1"/>
  <c r="L1272" i="10" s="1"/>
  <c r="L1328" i="10" s="1"/>
  <c r="L1124" i="10"/>
  <c r="L1151" i="10" s="1"/>
  <c r="L1184" i="10" s="1"/>
  <c r="L1227" i="10" s="1"/>
  <c r="L1275" i="10" s="1"/>
  <c r="L1117" i="10"/>
  <c r="L1144" i="10" s="1"/>
  <c r="L1177" i="10" s="1"/>
  <c r="L1220" i="10" s="1"/>
  <c r="L1268" i="10" s="1"/>
  <c r="L1119" i="10"/>
  <c r="L1146" i="10" s="1"/>
  <c r="L1179" i="10" s="1"/>
  <c r="L1222" i="10" s="1"/>
  <c r="L1270" i="10" s="1"/>
  <c r="I1133" i="10"/>
  <c r="L1122" i="10"/>
  <c r="L1149" i="10" s="1"/>
  <c r="L1182" i="10" s="1"/>
  <c r="L1225" i="10" s="1"/>
  <c r="L1273" i="10" s="1"/>
  <c r="K1125" i="10"/>
  <c r="L1114" i="10"/>
  <c r="L1141" i="10" s="1"/>
  <c r="L1174" i="10" s="1"/>
  <c r="L1217" i="10" s="1"/>
  <c r="L1265" i="10" s="1"/>
  <c r="I1205" i="10"/>
  <c r="K1152" i="10"/>
  <c r="I1106" i="10"/>
  <c r="E1335" i="1"/>
  <c r="J1288" i="1"/>
  <c r="H1288" i="1"/>
  <c r="H1293" i="1" s="1"/>
  <c r="G1288" i="1"/>
  <c r="K1185" i="10"/>
  <c r="I1167" i="10"/>
  <c r="J1241" i="1"/>
  <c r="E1241" i="1"/>
  <c r="D1247" i="1" s="1"/>
  <c r="F1226" i="1"/>
  <c r="K1092" i="10"/>
  <c r="L1126" i="10" s="1"/>
  <c r="L1113" i="10"/>
  <c r="F1179" i="1"/>
  <c r="F1199" i="1"/>
  <c r="E1194" i="1"/>
  <c r="I1075" i="10"/>
  <c r="L495" i="10"/>
  <c r="L519" i="10" s="1"/>
  <c r="L564" i="10" s="1"/>
  <c r="L721" i="10" s="1"/>
  <c r="L838" i="10" s="1"/>
  <c r="L937" i="10" s="1"/>
  <c r="L1028" i="10" s="1"/>
  <c r="E1147" i="1"/>
  <c r="D1153" i="1" s="1"/>
  <c r="J1151" i="1"/>
  <c r="K1035" i="10"/>
  <c r="I1014" i="10"/>
  <c r="F1083" i="1"/>
  <c r="E1098" i="1"/>
  <c r="D1104" i="1" s="1"/>
  <c r="H1035" i="1"/>
  <c r="G1050" i="1"/>
  <c r="E1050" i="1"/>
  <c r="D1056" i="1" s="1"/>
  <c r="F1035" i="1"/>
  <c r="K944" i="10"/>
  <c r="I819" i="10"/>
  <c r="I915" i="10"/>
  <c r="K728" i="10"/>
  <c r="L558" i="10"/>
  <c r="L715" i="10" s="1"/>
  <c r="L832" i="10" s="1"/>
  <c r="L931" i="10" s="1"/>
  <c r="L1022" i="10" s="1"/>
  <c r="I706" i="10"/>
  <c r="K845" i="10"/>
  <c r="G1004" i="1"/>
  <c r="E1004" i="1"/>
  <c r="J1008" i="1"/>
  <c r="J851" i="1"/>
  <c r="J866" i="1" s="1"/>
  <c r="I912" i="1"/>
  <c r="I917" i="1" s="1"/>
  <c r="J916" i="1"/>
  <c r="I958" i="1"/>
  <c r="I963" i="1" s="1"/>
  <c r="E958" i="1"/>
  <c r="D964" i="1" s="1"/>
  <c r="E964" i="1"/>
  <c r="F943" i="1"/>
  <c r="J943" i="1"/>
  <c r="J958" i="1" s="1"/>
  <c r="H943" i="1"/>
  <c r="K526" i="10"/>
  <c r="K571" i="10"/>
  <c r="H897" i="1"/>
  <c r="F897" i="1"/>
  <c r="J897" i="1"/>
  <c r="J912" i="1" s="1"/>
  <c r="E918" i="1"/>
  <c r="I866" i="1"/>
  <c r="I871" i="1" s="1"/>
  <c r="E866" i="1"/>
  <c r="D872" i="1" s="1"/>
  <c r="F851" i="1"/>
  <c r="I510" i="10"/>
  <c r="K502" i="10"/>
  <c r="J806" i="1"/>
  <c r="J821" i="1" s="1"/>
  <c r="I728" i="1"/>
  <c r="I733" i="1" s="1"/>
  <c r="H720" i="1"/>
  <c r="E781" i="1"/>
  <c r="I775" i="1"/>
  <c r="I780" i="1" s="1"/>
  <c r="H775" i="1"/>
  <c r="J760" i="1"/>
  <c r="J775" i="1" s="1"/>
  <c r="H779" i="1"/>
  <c r="J779" i="1" s="1"/>
  <c r="K476" i="10"/>
  <c r="I486" i="10"/>
  <c r="L381" i="10"/>
  <c r="L402" i="10" s="1"/>
  <c r="L438" i="10" s="1"/>
  <c r="L473" i="10" s="1"/>
  <c r="L499" i="10" s="1"/>
  <c r="L523" i="10" s="1"/>
  <c r="L568" i="10" s="1"/>
  <c r="L725" i="10" s="1"/>
  <c r="L842" i="10" s="1"/>
  <c r="L941" i="10" s="1"/>
  <c r="L1032" i="10" s="1"/>
  <c r="L383" i="10"/>
  <c r="L404" i="10" s="1"/>
  <c r="L440" i="10" s="1"/>
  <c r="L475" i="10" s="1"/>
  <c r="L501" i="10" s="1"/>
  <c r="L525" i="10" s="1"/>
  <c r="L570" i="10" s="1"/>
  <c r="L727" i="10" s="1"/>
  <c r="L844" i="10" s="1"/>
  <c r="L943" i="10" s="1"/>
  <c r="L1034" i="10" s="1"/>
  <c r="L373" i="10"/>
  <c r="L394" i="10" s="1"/>
  <c r="L430" i="10" s="1"/>
  <c r="L465" i="10" s="1"/>
  <c r="L491" i="10" s="1"/>
  <c r="L515" i="10" s="1"/>
  <c r="L560" i="10" s="1"/>
  <c r="L717" i="10" s="1"/>
  <c r="L834" i="10" s="1"/>
  <c r="L933" i="10" s="1"/>
  <c r="L1024" i="10" s="1"/>
  <c r="I461" i="10"/>
  <c r="L439" i="10"/>
  <c r="L474" i="10" s="1"/>
  <c r="L500" i="10" s="1"/>
  <c r="L524" i="10" s="1"/>
  <c r="L569" i="10" s="1"/>
  <c r="L726" i="10" s="1"/>
  <c r="L843" i="10" s="1"/>
  <c r="L942" i="10" s="1"/>
  <c r="L1033" i="10" s="1"/>
  <c r="L380" i="10"/>
  <c r="L401" i="10" s="1"/>
  <c r="L437" i="10" s="1"/>
  <c r="L472" i="10" s="1"/>
  <c r="L498" i="10" s="1"/>
  <c r="L522" i="10" s="1"/>
  <c r="L567" i="10" s="1"/>
  <c r="L724" i="10" s="1"/>
  <c r="L841" i="10" s="1"/>
  <c r="L940" i="10" s="1"/>
  <c r="L1031" i="10" s="1"/>
  <c r="K441" i="10"/>
  <c r="L376" i="10"/>
  <c r="L397" i="10" s="1"/>
  <c r="L433" i="10" s="1"/>
  <c r="L468" i="10" s="1"/>
  <c r="L494" i="10" s="1"/>
  <c r="L518" i="10" s="1"/>
  <c r="L563" i="10" s="1"/>
  <c r="L720" i="10" s="1"/>
  <c r="L837" i="10" s="1"/>
  <c r="L936" i="10" s="1"/>
  <c r="L1027" i="10" s="1"/>
  <c r="L400" i="10"/>
  <c r="L436" i="10" s="1"/>
  <c r="L471" i="10" s="1"/>
  <c r="L497" i="10" s="1"/>
  <c r="L521" i="10" s="1"/>
  <c r="L566" i="10" s="1"/>
  <c r="L723" i="10" s="1"/>
  <c r="L840" i="10" s="1"/>
  <c r="L939" i="10" s="1"/>
  <c r="L1030" i="10" s="1"/>
  <c r="I201" i="10"/>
  <c r="I388" i="10"/>
  <c r="I183" i="10"/>
  <c r="L393" i="10"/>
  <c r="L429" i="10" s="1"/>
  <c r="L464" i="10" s="1"/>
  <c r="L490" i="10" s="1"/>
  <c r="L514" i="10" s="1"/>
  <c r="L559" i="10" s="1"/>
  <c r="L396" i="10"/>
  <c r="L432" i="10" s="1"/>
  <c r="L467" i="10" s="1"/>
  <c r="L493" i="10" s="1"/>
  <c r="L517" i="10" s="1"/>
  <c r="L562" i="10" s="1"/>
  <c r="L719" i="10" s="1"/>
  <c r="L836" i="10" s="1"/>
  <c r="L935" i="10" s="1"/>
  <c r="L1026" i="10" s="1"/>
  <c r="K258" i="10"/>
  <c r="K334" i="10"/>
  <c r="L378" i="10"/>
  <c r="L399" i="10" s="1"/>
  <c r="L435" i="10" s="1"/>
  <c r="L470" i="10" s="1"/>
  <c r="L496" i="10" s="1"/>
  <c r="L520" i="10" s="1"/>
  <c r="L565" i="10" s="1"/>
  <c r="L722" i="10" s="1"/>
  <c r="L839" i="10" s="1"/>
  <c r="L938" i="10" s="1"/>
  <c r="L1029" i="10" s="1"/>
  <c r="I425" i="10"/>
  <c r="I215" i="10"/>
  <c r="K309" i="10"/>
  <c r="I161" i="10"/>
  <c r="I104" i="10"/>
  <c r="I136" i="10"/>
  <c r="I148" i="10"/>
  <c r="K124" i="10"/>
  <c r="K168" i="10"/>
  <c r="K186" i="10"/>
  <c r="I277" i="10"/>
  <c r="I313" i="10"/>
  <c r="I334" i="10"/>
  <c r="K91" i="10"/>
  <c r="K55" i="10"/>
  <c r="I54" i="10"/>
  <c r="K224" i="10"/>
  <c r="I39" i="10"/>
  <c r="K151" i="10"/>
  <c r="K207" i="10"/>
  <c r="G728" i="1"/>
  <c r="E728" i="1"/>
  <c r="D734" i="1" s="1"/>
  <c r="H713" i="1"/>
  <c r="J713" i="1"/>
  <c r="J728" i="1" s="1"/>
  <c r="F733" i="1"/>
  <c r="I634" i="1"/>
  <c r="I639" i="1" s="1"/>
  <c r="H666" i="1"/>
  <c r="E681" i="1"/>
  <c r="D687" i="1" s="1"/>
  <c r="J685" i="1"/>
  <c r="K405" i="10"/>
  <c r="J619" i="1"/>
  <c r="J634" i="1" s="1"/>
  <c r="J638" i="1"/>
  <c r="H619" i="1"/>
  <c r="H634" i="1" s="1"/>
  <c r="E634" i="1"/>
  <c r="D640" i="1" s="1"/>
  <c r="J249" i="1"/>
  <c r="J264" i="1" s="1"/>
  <c r="J114" i="1"/>
  <c r="J129" i="1" s="1"/>
  <c r="H249" i="1"/>
  <c r="F569" i="1"/>
  <c r="H294" i="1"/>
  <c r="H398" i="1"/>
  <c r="H69" i="1"/>
  <c r="H84" i="1" s="1"/>
  <c r="H89" i="1" s="1"/>
  <c r="I129" i="1"/>
  <c r="I134" i="1" s="1"/>
  <c r="H519" i="1"/>
  <c r="H534" i="1" s="1"/>
  <c r="H539" i="1" s="1"/>
  <c r="G129" i="1"/>
  <c r="G219" i="1"/>
  <c r="J339" i="1"/>
  <c r="J354" i="1" s="1"/>
  <c r="H429" i="1"/>
  <c r="F474" i="1"/>
  <c r="H76" i="1"/>
  <c r="F204" i="1"/>
  <c r="H166" i="1"/>
  <c r="H174" i="1" s="1"/>
  <c r="G309" i="1"/>
  <c r="J384" i="1"/>
  <c r="J399" i="1" s="1"/>
  <c r="E489" i="1"/>
  <c r="H133" i="1"/>
  <c r="J133" i="1" s="1"/>
  <c r="F249" i="1"/>
  <c r="I264" i="1"/>
  <c r="I269" i="1" s="1"/>
  <c r="I309" i="1"/>
  <c r="I314" i="1" s="1"/>
  <c r="E399" i="1"/>
  <c r="H403" i="1"/>
  <c r="J403" i="1" s="1"/>
  <c r="F519" i="1"/>
  <c r="E534" i="1"/>
  <c r="J86" i="1"/>
  <c r="H339" i="1"/>
  <c r="F69" i="1"/>
  <c r="H301" i="1"/>
  <c r="H346" i="1"/>
  <c r="F339" i="1"/>
  <c r="H384" i="1"/>
  <c r="F429" i="1"/>
  <c r="I534" i="1"/>
  <c r="I539" i="1" s="1"/>
  <c r="F114" i="1"/>
  <c r="H474" i="1"/>
  <c r="E540" i="1"/>
  <c r="H114" i="1"/>
  <c r="H129" i="1" s="1"/>
  <c r="H204" i="1"/>
  <c r="H223" i="1"/>
  <c r="J223" i="1" s="1"/>
  <c r="E264" i="1"/>
  <c r="G40" i="1"/>
  <c r="F294" i="1"/>
  <c r="G399" i="1"/>
  <c r="J536" i="1"/>
  <c r="I584" i="1"/>
  <c r="I589" i="1" s="1"/>
  <c r="H39" i="1"/>
  <c r="H25" i="1"/>
  <c r="H263" i="1"/>
  <c r="H264" i="1" s="1"/>
  <c r="H313" i="1"/>
  <c r="J313" i="1" s="1"/>
  <c r="G354" i="1"/>
  <c r="H353" i="1"/>
  <c r="J401" i="1"/>
  <c r="J474" i="1"/>
  <c r="J489" i="1" s="1"/>
  <c r="I489" i="1"/>
  <c r="I494" i="1" s="1"/>
  <c r="G534" i="1"/>
  <c r="H576" i="1"/>
  <c r="J204" i="1"/>
  <c r="J219" i="1" s="1"/>
  <c r="J69" i="1"/>
  <c r="J84" i="1" s="1"/>
  <c r="J294" i="1"/>
  <c r="J309" i="1" s="1"/>
  <c r="J429" i="1"/>
  <c r="J444" i="1" s="1"/>
  <c r="H40" i="1"/>
  <c r="J519" i="1"/>
  <c r="J534" i="1" s="1"/>
  <c r="F224" i="1"/>
  <c r="F314" i="1"/>
  <c r="J569" i="1"/>
  <c r="J584" i="1" s="1"/>
  <c r="J88" i="1"/>
  <c r="H178" i="1"/>
  <c r="J178" i="1" s="1"/>
  <c r="E40" i="1"/>
  <c r="H358" i="1"/>
  <c r="J358" i="1" s="1"/>
  <c r="H448" i="1"/>
  <c r="J448" i="1" s="1"/>
  <c r="H44" i="1"/>
  <c r="J44" i="1" s="1"/>
  <c r="G584" i="1"/>
  <c r="J586" i="1"/>
  <c r="H268" i="1"/>
  <c r="J268" i="1" s="1"/>
  <c r="H493" i="1"/>
  <c r="J493" i="1" s="1"/>
  <c r="K359" i="10"/>
  <c r="C369" i="10"/>
  <c r="I369" i="10" s="1"/>
  <c r="H569" i="1"/>
  <c r="E584" i="1"/>
  <c r="D590" i="1" s="1"/>
  <c r="J588" i="1"/>
  <c r="L1382" i="10" l="1"/>
  <c r="L1386" i="10" s="1"/>
  <c r="L1332" i="10"/>
  <c r="E1247" i="1"/>
  <c r="D1388" i="1" s="1"/>
  <c r="H912" i="1"/>
  <c r="H917" i="1" s="1"/>
  <c r="H681" i="1"/>
  <c r="H686" i="1" s="1"/>
  <c r="H1199" i="1"/>
  <c r="H444" i="1"/>
  <c r="H728" i="1"/>
  <c r="H733" i="1" s="1"/>
  <c r="D1010" i="1"/>
  <c r="H1335" i="1"/>
  <c r="H1340" i="1" s="1"/>
  <c r="H1050" i="1"/>
  <c r="H1055" i="1" s="1"/>
  <c r="E1056" i="1"/>
  <c r="H1241" i="1"/>
  <c r="H1246" i="1" s="1"/>
  <c r="H958" i="1"/>
  <c r="H963" i="1" s="1"/>
  <c r="D1341" i="1"/>
  <c r="H219" i="1"/>
  <c r="H224" i="1" s="1"/>
  <c r="H584" i="1"/>
  <c r="H589" i="1" s="1"/>
  <c r="E1434" i="1"/>
  <c r="H1387" i="1"/>
  <c r="E1010" i="1"/>
  <c r="H489" i="1"/>
  <c r="H494" i="1" s="1"/>
  <c r="E1341" i="1"/>
  <c r="H134" i="1"/>
  <c r="H449" i="1"/>
  <c r="H826" i="1"/>
  <c r="H399" i="1"/>
  <c r="H404" i="1" s="1"/>
  <c r="H639" i="1"/>
  <c r="D1200" i="1"/>
  <c r="E1294" i="1"/>
  <c r="D1480" i="1" s="1"/>
  <c r="L1125" i="10"/>
  <c r="L1140" i="10"/>
  <c r="L1153" i="10"/>
  <c r="L571" i="10"/>
  <c r="L716" i="10"/>
  <c r="L526" i="10"/>
  <c r="L572" i="10" s="1"/>
  <c r="L729" i="10" s="1"/>
  <c r="L846" i="10" s="1"/>
  <c r="L945" i="10" s="1"/>
  <c r="L1036" i="10" s="1"/>
  <c r="L502" i="10"/>
  <c r="L527" i="10" s="1"/>
  <c r="L476" i="10"/>
  <c r="L503" i="10" s="1"/>
  <c r="H780" i="1"/>
  <c r="L441" i="10"/>
  <c r="L477" i="10" s="1"/>
  <c r="L405" i="10"/>
  <c r="L384" i="10"/>
  <c r="L406" i="10" s="1"/>
  <c r="L442" i="10" s="1"/>
  <c r="H354" i="1"/>
  <c r="H359" i="1" s="1"/>
  <c r="H309" i="1"/>
  <c r="H314" i="1" s="1"/>
  <c r="D540" i="1"/>
  <c r="H45" i="1"/>
  <c r="H179" i="1"/>
  <c r="H269" i="1"/>
  <c r="K384" i="10"/>
  <c r="L385" i="10" s="1"/>
  <c r="L1173" i="10" l="1"/>
  <c r="L1152" i="10"/>
  <c r="L1186" i="10" s="1"/>
  <c r="L833" i="10"/>
  <c r="L728" i="10"/>
  <c r="L1185" i="10" l="1"/>
  <c r="L1229" i="10" s="1"/>
  <c r="L1277" i="10" s="1"/>
  <c r="L1333" i="10" s="1"/>
  <c r="L1387" i="10" s="1"/>
  <c r="L1216" i="10"/>
  <c r="L845" i="10"/>
  <c r="L932" i="10"/>
  <c r="L1264" i="10" l="1"/>
  <c r="L1276" i="10" s="1"/>
  <c r="L1228" i="10"/>
  <c r="L944" i="10"/>
  <c r="L1023" i="10"/>
  <c r="L1035" i="10" s="1"/>
  <c r="I552" i="10"/>
</calcChain>
</file>

<file path=xl/sharedStrings.xml><?xml version="1.0" encoding="utf-8"?>
<sst xmlns="http://schemas.openxmlformats.org/spreadsheetml/2006/main" count="6443" uniqueCount="2382">
  <si>
    <t>Rm #</t>
  </si>
  <si>
    <t>Date Paid</t>
  </si>
  <si>
    <t>Rent for …</t>
  </si>
  <si>
    <t>Water</t>
  </si>
  <si>
    <t>GBG</t>
  </si>
  <si>
    <t>Remitted Amount</t>
  </si>
  <si>
    <t>Anniv Date</t>
  </si>
  <si>
    <t>Deposit</t>
  </si>
  <si>
    <t>BH</t>
  </si>
  <si>
    <t>January '2024</t>
  </si>
  <si>
    <t>1a</t>
  </si>
  <si>
    <r>
      <rPr>
        <sz val="9"/>
        <rFont val="Arial"/>
        <family val="2"/>
      </rPr>
      <t xml:space="preserve">Lobby Toor </t>
    </r>
    <r>
      <rPr>
        <sz val="9"/>
        <color rgb="FFFF0000"/>
        <rFont val="Arial"/>
        <family val="2"/>
      </rPr>
      <t>OR#4627</t>
    </r>
  </si>
  <si>
    <t>Jan.7-Feb.6/24</t>
  </si>
  <si>
    <t>Nov.7/21</t>
  </si>
  <si>
    <t>1b</t>
  </si>
  <si>
    <r>
      <rPr>
        <sz val="9"/>
        <rFont val="Arial"/>
        <family val="2"/>
      </rPr>
      <t xml:space="preserve">Loiselle Ann Fungo </t>
    </r>
    <r>
      <rPr>
        <sz val="9"/>
        <color rgb="FFFF0000"/>
        <rFont val="Arial"/>
        <family val="2"/>
      </rPr>
      <t>OR#4619</t>
    </r>
  </si>
  <si>
    <t>Jan.15-Feb.14/24</t>
  </si>
  <si>
    <t>Aug 15/22</t>
  </si>
  <si>
    <t>1c</t>
  </si>
  <si>
    <r>
      <rPr>
        <sz val="9"/>
        <rFont val="Arial"/>
        <family val="2"/>
      </rPr>
      <t>Daryl Rivero</t>
    </r>
    <r>
      <rPr>
        <sz val="9"/>
        <color rgb="FFFF0000"/>
        <rFont val="Arial"/>
        <family val="2"/>
      </rPr>
      <t xml:space="preserve"> OR#4634</t>
    </r>
  </si>
  <si>
    <t>Jan.26-Feb..25/24</t>
  </si>
  <si>
    <t>April 26/19</t>
  </si>
  <si>
    <t>1d</t>
  </si>
  <si>
    <r>
      <rPr>
        <sz val="8"/>
        <rFont val="Arial"/>
        <family val="2"/>
      </rPr>
      <t>Sandrine Jammeka Mariano</t>
    </r>
    <r>
      <rPr>
        <sz val="8"/>
        <color rgb="FFFF0000"/>
        <rFont val="Arial"/>
        <family val="2"/>
      </rPr>
      <t xml:space="preserve"> OR#4617</t>
    </r>
  </si>
  <si>
    <t>Jan.9-Feb.8/24</t>
  </si>
  <si>
    <t>Jul9/14,Nov/15,Jun/17, Jun/19</t>
  </si>
  <si>
    <t>1e</t>
  </si>
  <si>
    <r>
      <rPr>
        <sz val="9"/>
        <color theme="1"/>
        <rFont val="Arial"/>
        <family val="2"/>
      </rPr>
      <t xml:space="preserve">Von Largo </t>
    </r>
    <r>
      <rPr>
        <sz val="9"/>
        <color rgb="FFFF0000"/>
        <rFont val="Arial"/>
        <family val="2"/>
      </rPr>
      <t>OR#4618</t>
    </r>
  </si>
  <si>
    <t>Jan.17-Feb.16/24</t>
  </si>
  <si>
    <t xml:space="preserve">                           Aug 17/22</t>
  </si>
  <si>
    <t>1f</t>
  </si>
  <si>
    <r>
      <rPr>
        <sz val="9"/>
        <rFont val="Arial"/>
        <family val="2"/>
      </rPr>
      <t xml:space="preserve">Trishia Mae Dedase </t>
    </r>
    <r>
      <rPr>
        <sz val="9"/>
        <color rgb="FFFF0000"/>
        <rFont val="Arial"/>
        <family val="2"/>
      </rPr>
      <t>OR#4636</t>
    </r>
  </si>
  <si>
    <t>Jan.15/23</t>
  </si>
  <si>
    <t>1g</t>
  </si>
  <si>
    <r>
      <rPr>
        <sz val="9"/>
        <rFont val="Arial"/>
        <family val="2"/>
      </rPr>
      <t xml:space="preserve">Alejandro Delarosa </t>
    </r>
    <r>
      <rPr>
        <sz val="9"/>
        <color rgb="FFFF0000"/>
        <rFont val="Arial"/>
        <family val="2"/>
      </rPr>
      <t>OR#4631</t>
    </r>
  </si>
  <si>
    <t>1h</t>
  </si>
  <si>
    <r>
      <rPr>
        <sz val="8"/>
        <color theme="1"/>
        <rFont val="Arial"/>
        <family val="2"/>
      </rPr>
      <t xml:space="preserve">Hannah Faye Delos Reyes </t>
    </r>
    <r>
      <rPr>
        <sz val="8"/>
        <color rgb="FFFF0000"/>
        <rFont val="Arial"/>
        <family val="2"/>
      </rPr>
      <t>OR#46</t>
    </r>
    <r>
      <rPr>
        <sz val="8"/>
        <color theme="1"/>
        <rFont val="Arial"/>
        <family val="2"/>
      </rPr>
      <t>16</t>
    </r>
  </si>
  <si>
    <t>Jan.3-Feb.2/24</t>
  </si>
  <si>
    <t>May 3/23</t>
  </si>
  <si>
    <t>2a</t>
  </si>
  <si>
    <r>
      <rPr>
        <sz val="8"/>
        <rFont val="Arial"/>
        <family val="2"/>
      </rPr>
      <t xml:space="preserve">Ron Juliene Dominguino </t>
    </r>
    <r>
      <rPr>
        <sz val="8"/>
        <color rgb="FFFF0000"/>
        <rFont val="Arial"/>
        <family val="2"/>
      </rPr>
      <t>OR#4635</t>
    </r>
  </si>
  <si>
    <t>Jan.1-31/24</t>
  </si>
  <si>
    <t>Mar/1/20</t>
  </si>
  <si>
    <t>2b</t>
  </si>
  <si>
    <r>
      <rPr>
        <sz val="9"/>
        <rFont val="Arial"/>
        <family val="2"/>
      </rPr>
      <t xml:space="preserve">Guilcyn Penetrante </t>
    </r>
    <r>
      <rPr>
        <sz val="9"/>
        <color rgb="FFFF0000"/>
        <rFont val="Arial"/>
        <family val="2"/>
      </rPr>
      <t>OR4633</t>
    </r>
  </si>
  <si>
    <t>Jan.30-Feb.29/24</t>
  </si>
  <si>
    <t>Aug. 31/20</t>
  </si>
  <si>
    <t>2c</t>
  </si>
  <si>
    <r>
      <rPr>
        <sz val="9"/>
        <rFont val="Arial"/>
        <family val="2"/>
      </rPr>
      <t>France Sacueza</t>
    </r>
    <r>
      <rPr>
        <sz val="9"/>
        <color rgb="FFFF0000"/>
        <rFont val="Arial"/>
        <family val="2"/>
      </rPr>
      <t xml:space="preserve"> OR#4629</t>
    </r>
  </si>
  <si>
    <t>Jan.28-Feb.27/24</t>
  </si>
  <si>
    <t>Apr.29/23</t>
  </si>
  <si>
    <t>2d</t>
  </si>
  <si>
    <r>
      <rPr>
        <sz val="9"/>
        <color theme="1"/>
        <rFont val="Arial"/>
        <family val="2"/>
      </rPr>
      <t xml:space="preserve">Paul Cortex </t>
    </r>
    <r>
      <rPr>
        <sz val="9"/>
        <color rgb="FFFF0000"/>
        <rFont val="Arial"/>
        <family val="2"/>
      </rPr>
      <t>OR#4620</t>
    </r>
  </si>
  <si>
    <t>Jan.12-Feb.11/24</t>
  </si>
  <si>
    <t>Nov.12/23</t>
  </si>
  <si>
    <t>2e</t>
  </si>
  <si>
    <r>
      <rPr>
        <sz val="9"/>
        <rFont val="Arial"/>
        <family val="2"/>
      </rPr>
      <t xml:space="preserve">EJ Millare </t>
    </r>
    <r>
      <rPr>
        <sz val="9"/>
        <color rgb="FFFF0000"/>
        <rFont val="Arial"/>
        <family val="2"/>
      </rPr>
      <t>OR#4625</t>
    </r>
  </si>
  <si>
    <t>Apr.28/23</t>
  </si>
  <si>
    <t>2f</t>
  </si>
  <si>
    <r>
      <rPr>
        <sz val="9"/>
        <rFont val="Arial"/>
        <family val="2"/>
      </rPr>
      <t xml:space="preserve">Gyra Dilao </t>
    </r>
    <r>
      <rPr>
        <sz val="9"/>
        <color rgb="FFFF0000"/>
        <rFont val="Arial"/>
        <family val="2"/>
      </rPr>
      <t>O#4621</t>
    </r>
  </si>
  <si>
    <t>2g</t>
  </si>
  <si>
    <r>
      <rPr>
        <sz val="9"/>
        <rFont val="Arial"/>
        <family val="2"/>
      </rPr>
      <t xml:space="preserve">Daphie Burac </t>
    </r>
    <r>
      <rPr>
        <sz val="9"/>
        <color rgb="FFFF0000"/>
        <rFont val="Arial"/>
        <family val="2"/>
      </rPr>
      <t>OR#4622</t>
    </r>
  </si>
  <si>
    <t>Aug 15-Sep 14/22</t>
  </si>
  <si>
    <t>3a</t>
  </si>
  <si>
    <r>
      <rPr>
        <sz val="9"/>
        <rFont val="Arial"/>
        <family val="2"/>
      </rPr>
      <t xml:space="preserve">Mark Rowell Brusola </t>
    </r>
    <r>
      <rPr>
        <sz val="9"/>
        <color rgb="FFFF0000"/>
        <rFont val="Arial"/>
        <family val="2"/>
      </rPr>
      <t>OR#4628</t>
    </r>
  </si>
  <si>
    <t>Jan.18-Feb.17/24</t>
  </si>
  <si>
    <t>Feb/18/21</t>
  </si>
  <si>
    <t>3b</t>
  </si>
  <si>
    <r>
      <rPr>
        <sz val="9"/>
        <rFont val="Arial"/>
        <family val="2"/>
      </rPr>
      <t xml:space="preserve">Karl Alforte </t>
    </r>
    <r>
      <rPr>
        <sz val="9"/>
        <color rgb="FFFF0000"/>
        <rFont val="Arial"/>
        <family val="2"/>
      </rPr>
      <t>OR#4626</t>
    </r>
  </si>
  <si>
    <t>Jan.26-Feb.25/24</t>
  </si>
  <si>
    <t>Nov.26/23</t>
  </si>
  <si>
    <t>3c</t>
  </si>
  <si>
    <r>
      <rPr>
        <sz val="9"/>
        <rFont val="Arial"/>
        <family val="2"/>
      </rPr>
      <t xml:space="preserve">Jana Marmol </t>
    </r>
    <r>
      <rPr>
        <sz val="9"/>
        <color rgb="FFFF0000"/>
        <rFont val="Arial"/>
        <family val="2"/>
      </rPr>
      <t>OR#4632</t>
    </r>
  </si>
  <si>
    <t>Aug. 18/23</t>
  </si>
  <si>
    <t>3d</t>
  </si>
  <si>
    <r>
      <rPr>
        <sz val="9"/>
        <rFont val="Arial"/>
        <family val="2"/>
      </rPr>
      <t xml:space="preserve">Mina Anusha Shruthi </t>
    </r>
    <r>
      <rPr>
        <sz val="9"/>
        <color rgb="FFFF0000"/>
        <rFont val="Arial"/>
        <family val="2"/>
      </rPr>
      <t>OR#4630</t>
    </r>
  </si>
  <si>
    <t>Oct.15/22</t>
  </si>
  <si>
    <t>3e</t>
  </si>
  <si>
    <r>
      <rPr>
        <sz val="9"/>
        <color theme="1"/>
        <rFont val="Arial"/>
        <family val="2"/>
      </rPr>
      <t xml:space="preserve">Ariel Jay Broqueza </t>
    </r>
    <r>
      <rPr>
        <sz val="9"/>
        <color rgb="FFFF0000"/>
        <rFont val="Arial"/>
        <family val="2"/>
      </rPr>
      <t>OR#4615</t>
    </r>
  </si>
  <si>
    <t>Jan.5-Feb.4/24</t>
  </si>
  <si>
    <t>Jan.5/24</t>
  </si>
  <si>
    <t>3f</t>
  </si>
  <si>
    <r>
      <rPr>
        <sz val="9"/>
        <color theme="1"/>
        <rFont val="Arial"/>
        <family val="2"/>
      </rPr>
      <t xml:space="preserve">Pallavi Ravichandran </t>
    </r>
    <r>
      <rPr>
        <sz val="9"/>
        <color rgb="FFFF0000"/>
        <rFont val="Arial"/>
        <family val="2"/>
      </rPr>
      <t>OR#4624</t>
    </r>
  </si>
  <si>
    <t>Oct.18/23</t>
  </si>
  <si>
    <t>3g</t>
  </si>
  <si>
    <r>
      <rPr>
        <sz val="9"/>
        <rFont val="Arial"/>
        <family val="2"/>
      </rPr>
      <t xml:space="preserve">Rayana Gigantone </t>
    </r>
    <r>
      <rPr>
        <sz val="9"/>
        <color rgb="FFFF0000"/>
        <rFont val="Arial"/>
        <family val="2"/>
      </rPr>
      <t>OR#4623</t>
    </r>
  </si>
  <si>
    <t>Jan.26- Feb.25 /24</t>
  </si>
  <si>
    <t>Apr.26/23</t>
  </si>
  <si>
    <t>Back Apartment</t>
  </si>
  <si>
    <t>B1F</t>
  </si>
  <si>
    <t xml:space="preserve">Arvin Vega </t>
  </si>
  <si>
    <t>Jan.10-Feb.9/24</t>
  </si>
  <si>
    <t>Jun 10/21</t>
  </si>
  <si>
    <t>B2F</t>
  </si>
  <si>
    <t xml:space="preserve">Anna Sherra Jalmasco </t>
  </si>
  <si>
    <t>Jan.21-Feb.20/24</t>
  </si>
  <si>
    <t>May 21/21</t>
  </si>
  <si>
    <t>B2B</t>
  </si>
  <si>
    <t>Krizza Bellena</t>
  </si>
  <si>
    <t>Dec.2/23</t>
  </si>
  <si>
    <t>B3F</t>
  </si>
  <si>
    <t>Jennifer Agnas</t>
  </si>
  <si>
    <t>Jan.8-Feb.7/24</t>
  </si>
  <si>
    <t>Aug 8/22</t>
  </si>
  <si>
    <t>B3B</t>
  </si>
  <si>
    <t>Dalia Marie Begornia</t>
  </si>
  <si>
    <t>Jan.31-Feb.29/24</t>
  </si>
  <si>
    <t>Jan 31/24</t>
  </si>
  <si>
    <t xml:space="preserve"> </t>
  </si>
  <si>
    <t>Pent House</t>
  </si>
  <si>
    <t>PH</t>
  </si>
  <si>
    <t>Vacant</t>
  </si>
  <si>
    <t>Front Apartment</t>
  </si>
  <si>
    <t>F1</t>
  </si>
  <si>
    <t xml:space="preserve">Gayon Albay LGBT </t>
  </si>
  <si>
    <t xml:space="preserve">                                     Oct 28/22</t>
  </si>
  <si>
    <t>F2F</t>
  </si>
  <si>
    <t>Trishia Navarra</t>
  </si>
  <si>
    <t>Jan. 2-Feb.1/24</t>
  </si>
  <si>
    <t>Jul 2/22</t>
  </si>
  <si>
    <t>F2B</t>
  </si>
  <si>
    <t>Alfred John Laurinaria</t>
  </si>
  <si>
    <t xml:space="preserve">                              Aug 15/22</t>
  </si>
  <si>
    <t>Linda</t>
  </si>
  <si>
    <t>Electric</t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</si>
  <si>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LF</t>
    </r>
  </si>
  <si>
    <t>Gayon LGPT</t>
  </si>
  <si>
    <t>Jan.13-Feb.12/24</t>
  </si>
  <si>
    <t>May 13/22</t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</si>
  <si>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LB</t>
    </r>
  </si>
  <si>
    <t xml:space="preserve">Jaye Casia </t>
  </si>
  <si>
    <t>Jan. 25-Feb.24/24</t>
  </si>
  <si>
    <t>Oct.25/19</t>
  </si>
  <si>
    <t>* Add'l amt for electric (325) and water to be remitted to B-House</t>
  </si>
  <si>
    <t>Rent remitted to Linda directly</t>
  </si>
  <si>
    <t>Garbage Total</t>
  </si>
  <si>
    <t>February '2024</t>
  </si>
  <si>
    <r>
      <rPr>
        <sz val="9"/>
        <rFont val="Arial"/>
        <family val="2"/>
      </rPr>
      <t xml:space="preserve">Lobby Toor </t>
    </r>
    <r>
      <rPr>
        <sz val="9"/>
        <color rgb="FFFF0000"/>
        <rFont val="Arial"/>
        <family val="2"/>
      </rPr>
      <t>OR#4641</t>
    </r>
  </si>
  <si>
    <t>Feb.7-Mar.6/24</t>
  </si>
  <si>
    <r>
      <rPr>
        <sz val="9"/>
        <rFont val="Arial"/>
        <family val="2"/>
      </rPr>
      <t xml:space="preserve">Loiselle Ann Fungo </t>
    </r>
    <r>
      <rPr>
        <sz val="9"/>
        <color rgb="FFFF0000"/>
        <rFont val="Arial"/>
        <family val="2"/>
      </rPr>
      <t>OR#4647</t>
    </r>
  </si>
  <si>
    <t>Feb.15-Mar.14/24</t>
  </si>
  <si>
    <r>
      <rPr>
        <sz val="9"/>
        <rFont val="Arial"/>
        <family val="2"/>
      </rPr>
      <t>Daryl Rivero</t>
    </r>
    <r>
      <rPr>
        <sz val="9"/>
        <color rgb="FFFF0000"/>
        <rFont val="Arial"/>
        <family val="2"/>
      </rPr>
      <t xml:space="preserve"> OR#4655</t>
    </r>
  </si>
  <si>
    <t>Feb.26-Mar.25/24</t>
  </si>
  <si>
    <r>
      <rPr>
        <sz val="8"/>
        <rFont val="Arial"/>
        <family val="2"/>
      </rPr>
      <t>Sandrine Jammeka Mariano</t>
    </r>
    <r>
      <rPr>
        <sz val="8"/>
        <color rgb="FFFF0000"/>
        <rFont val="Arial"/>
        <family val="2"/>
      </rPr>
      <t xml:space="preserve"> OR#4639</t>
    </r>
  </si>
  <si>
    <t>Feb.9-Mar.8/24</t>
  </si>
  <si>
    <r>
      <rPr>
        <sz val="9"/>
        <color theme="1"/>
        <rFont val="Arial"/>
        <family val="2"/>
      </rPr>
      <t xml:space="preserve">Von Largo </t>
    </r>
    <r>
      <rPr>
        <sz val="9"/>
        <color rgb="FFFF0000"/>
        <rFont val="Arial"/>
        <family val="2"/>
      </rPr>
      <t>OR#4640</t>
    </r>
  </si>
  <si>
    <t>Feb.17-Mar.16/24</t>
  </si>
  <si>
    <r>
      <rPr>
        <sz val="9"/>
        <rFont val="Arial"/>
        <family val="2"/>
      </rPr>
      <t xml:space="preserve">Trishia Mae Dedase </t>
    </r>
    <r>
      <rPr>
        <sz val="9"/>
        <color rgb="FFFF0000"/>
        <rFont val="Arial"/>
        <family val="2"/>
      </rPr>
      <t>OR#4657</t>
    </r>
  </si>
  <si>
    <r>
      <rPr>
        <sz val="9"/>
        <rFont val="Arial"/>
        <family val="2"/>
      </rPr>
      <t xml:space="preserve">Alejandro Delarosa </t>
    </r>
    <r>
      <rPr>
        <sz val="9"/>
        <color rgb="FFFF0000"/>
        <rFont val="Arial"/>
        <family val="2"/>
      </rPr>
      <t>OR#4643</t>
    </r>
  </si>
  <si>
    <r>
      <rPr>
        <sz val="8"/>
        <color theme="1"/>
        <rFont val="Arial"/>
        <family val="2"/>
      </rPr>
      <t xml:space="preserve">Hannah Faye Delos Reyes </t>
    </r>
    <r>
      <rPr>
        <sz val="8"/>
        <color rgb="FFFF0000"/>
        <rFont val="Arial"/>
        <family val="2"/>
      </rPr>
      <t>OR#4637</t>
    </r>
  </si>
  <si>
    <t>Feb.3-Mar.2/24</t>
  </si>
  <si>
    <r>
      <rPr>
        <sz val="8"/>
        <rFont val="Arial"/>
        <family val="2"/>
      </rPr>
      <t xml:space="preserve">Ron Juliene Dominguino </t>
    </r>
    <r>
      <rPr>
        <sz val="8"/>
        <color rgb="FFFF0000"/>
        <rFont val="Arial"/>
        <family val="2"/>
      </rPr>
      <t>OR#4656</t>
    </r>
  </si>
  <si>
    <t>Feb.1-29/24</t>
  </si>
  <si>
    <r>
      <rPr>
        <sz val="9"/>
        <rFont val="Arial"/>
        <family val="2"/>
      </rPr>
      <t xml:space="preserve">Guilcyn Penetrante </t>
    </r>
    <r>
      <rPr>
        <sz val="9"/>
        <color rgb="FFFF0000"/>
        <rFont val="Arial"/>
        <family val="2"/>
      </rPr>
      <t>OR4646</t>
    </r>
  </si>
  <si>
    <t>Feb.30-Mar.29/24</t>
  </si>
  <si>
    <r>
      <rPr>
        <sz val="9"/>
        <rFont val="Arial"/>
        <family val="2"/>
      </rPr>
      <t>France Sacueza</t>
    </r>
    <r>
      <rPr>
        <sz val="9"/>
        <color rgb="FFFF0000"/>
        <rFont val="Arial"/>
        <family val="2"/>
      </rPr>
      <t xml:space="preserve"> OR#4653</t>
    </r>
  </si>
  <si>
    <t>Feb.28-Mar.27/24</t>
  </si>
  <si>
    <r>
      <rPr>
        <sz val="9"/>
        <color theme="1"/>
        <rFont val="Arial"/>
        <family val="2"/>
      </rPr>
      <t xml:space="preserve">Paul Cortex </t>
    </r>
    <r>
      <rPr>
        <sz val="9"/>
        <color rgb="FFFF0000"/>
        <rFont val="Arial"/>
        <family val="2"/>
      </rPr>
      <t>OR#4650</t>
    </r>
  </si>
  <si>
    <t>Feb.12-Mar.11/24</t>
  </si>
  <si>
    <r>
      <rPr>
        <sz val="9"/>
        <rFont val="Arial"/>
        <family val="2"/>
      </rPr>
      <t xml:space="preserve">EJ Millare </t>
    </r>
    <r>
      <rPr>
        <sz val="9"/>
        <color rgb="FFFF0000"/>
        <rFont val="Arial"/>
        <family val="2"/>
      </rPr>
      <t>OR#4649</t>
    </r>
  </si>
  <si>
    <r>
      <rPr>
        <sz val="9"/>
        <rFont val="Arial"/>
        <family val="2"/>
      </rPr>
      <t xml:space="preserve">Gyra Dilao </t>
    </r>
    <r>
      <rPr>
        <sz val="9"/>
        <color rgb="FFFF0000"/>
        <rFont val="Arial"/>
        <family val="2"/>
      </rPr>
      <t>O#4648</t>
    </r>
  </si>
  <si>
    <r>
      <rPr>
        <sz val="9"/>
        <rFont val="Arial"/>
        <family val="2"/>
      </rPr>
      <t xml:space="preserve">Daphie Burac </t>
    </r>
    <r>
      <rPr>
        <sz val="9"/>
        <color rgb="FFFF0000"/>
        <rFont val="Arial"/>
        <family val="2"/>
      </rPr>
      <t>OR#4642</t>
    </r>
  </si>
  <si>
    <t>VACANT</t>
  </si>
  <si>
    <r>
      <rPr>
        <sz val="9"/>
        <rFont val="Arial"/>
        <family val="2"/>
      </rPr>
      <t xml:space="preserve">Karl Alforte </t>
    </r>
    <r>
      <rPr>
        <sz val="9"/>
        <color rgb="FFFF0000"/>
        <rFont val="Arial"/>
        <family val="2"/>
      </rPr>
      <t>OR#4644</t>
    </r>
  </si>
  <si>
    <r>
      <rPr>
        <sz val="9"/>
        <rFont val="Arial"/>
        <family val="2"/>
      </rPr>
      <t xml:space="preserve">Jana Marmol </t>
    </r>
    <r>
      <rPr>
        <sz val="9"/>
        <color rgb="FFFF0000"/>
        <rFont val="Arial"/>
        <family val="2"/>
      </rPr>
      <t>OR#4654</t>
    </r>
  </si>
  <si>
    <t>Feb.18-Mar.17/24</t>
  </si>
  <si>
    <r>
      <rPr>
        <sz val="9"/>
        <rFont val="Arial"/>
        <family val="2"/>
      </rPr>
      <t xml:space="preserve">Mina Anusha Shruthi </t>
    </r>
    <r>
      <rPr>
        <sz val="9"/>
        <color rgb="FFFF0000"/>
        <rFont val="Arial"/>
        <family val="2"/>
      </rPr>
      <t>OR#4652</t>
    </r>
  </si>
  <si>
    <r>
      <rPr>
        <sz val="9"/>
        <color theme="1"/>
        <rFont val="Arial"/>
        <family val="2"/>
      </rPr>
      <t xml:space="preserve">Ariel Jay Broqueza </t>
    </r>
    <r>
      <rPr>
        <sz val="9"/>
        <color rgb="FFFF0000"/>
        <rFont val="Arial"/>
        <family val="2"/>
      </rPr>
      <t>OR#4638</t>
    </r>
  </si>
  <si>
    <t>Feb.5-Mar.4/24</t>
  </si>
  <si>
    <r>
      <rPr>
        <sz val="9"/>
        <color theme="1"/>
        <rFont val="Arial"/>
        <family val="2"/>
      </rPr>
      <t xml:space="preserve">Pallavi Ravichandran </t>
    </r>
    <r>
      <rPr>
        <sz val="9"/>
        <color rgb="FFFF0000"/>
        <rFont val="Arial"/>
        <family val="2"/>
      </rPr>
      <t>OR#4651</t>
    </r>
  </si>
  <si>
    <r>
      <rPr>
        <sz val="9"/>
        <rFont val="Arial"/>
        <family val="2"/>
      </rPr>
      <t xml:space="preserve">Rayana Gigantone </t>
    </r>
    <r>
      <rPr>
        <sz val="9"/>
        <color rgb="FFFF0000"/>
        <rFont val="Arial"/>
        <family val="2"/>
      </rPr>
      <t>OR#4645</t>
    </r>
  </si>
  <si>
    <t>Feb.26- Mar.25 /24</t>
  </si>
  <si>
    <t>Feb.10-Mar.9/24</t>
  </si>
  <si>
    <t>Feb.21-Mar.20/24</t>
  </si>
  <si>
    <t>Feb.8-Mar.7/24</t>
  </si>
  <si>
    <t>Feb.31-Mar..29/24</t>
  </si>
  <si>
    <t>Feb.1-28/24</t>
  </si>
  <si>
    <t>Feb. 2-Mar.1/24</t>
  </si>
  <si>
    <t>Feb.13-Mar.12/24</t>
  </si>
  <si>
    <t>Feb. 25-Mar.24/24</t>
  </si>
  <si>
    <t>March '2024</t>
  </si>
  <si>
    <r>
      <rPr>
        <sz val="9"/>
        <rFont val="Arial"/>
        <family val="2"/>
      </rPr>
      <t xml:space="preserve">Lobby Toor </t>
    </r>
    <r>
      <rPr>
        <sz val="9"/>
        <color rgb="FFFF0000"/>
        <rFont val="Arial"/>
        <family val="2"/>
      </rPr>
      <t>OR#4668</t>
    </r>
  </si>
  <si>
    <t>Mar.7-Apr.6/24</t>
  </si>
  <si>
    <r>
      <rPr>
        <sz val="9"/>
        <rFont val="Arial"/>
        <family val="2"/>
      </rPr>
      <t xml:space="preserve">Loiselle Ann Fungo </t>
    </r>
    <r>
      <rPr>
        <sz val="9"/>
        <color rgb="FFFF0000"/>
        <rFont val="Arial"/>
        <family val="2"/>
      </rPr>
      <t>OR#4660</t>
    </r>
  </si>
  <si>
    <t>Mar.15-Apr.14/24</t>
  </si>
  <si>
    <r>
      <rPr>
        <sz val="9"/>
        <rFont val="Arial"/>
        <family val="2"/>
      </rPr>
      <t>Daryl Rivero</t>
    </r>
    <r>
      <rPr>
        <sz val="9"/>
        <color rgb="FFFF0000"/>
        <rFont val="Arial"/>
        <family val="2"/>
      </rPr>
      <t xml:space="preserve"> OR#4672</t>
    </r>
  </si>
  <si>
    <t>Mar.26-Apr.25/24</t>
  </si>
  <si>
    <r>
      <rPr>
        <sz val="8"/>
        <rFont val="Arial"/>
        <family val="2"/>
      </rPr>
      <t>Sandrine Jammeka Mariano</t>
    </r>
    <r>
      <rPr>
        <sz val="8"/>
        <color rgb="FFFF0000"/>
        <rFont val="Arial"/>
        <family val="2"/>
      </rPr>
      <t xml:space="preserve"> OR#4659</t>
    </r>
  </si>
  <si>
    <t>Mar.9-Apr.8/24</t>
  </si>
  <si>
    <r>
      <rPr>
        <sz val="9"/>
        <color theme="1"/>
        <rFont val="Arial"/>
        <family val="2"/>
      </rPr>
      <t xml:space="preserve">Von Largo </t>
    </r>
    <r>
      <rPr>
        <sz val="9"/>
        <color rgb="FFFF0000"/>
        <rFont val="Arial"/>
        <family val="2"/>
      </rPr>
      <t>OR#4662</t>
    </r>
  </si>
  <si>
    <t>Mar.17-Apr.16/24</t>
  </si>
  <si>
    <r>
      <rPr>
        <sz val="9"/>
        <rFont val="Arial"/>
        <family val="2"/>
      </rPr>
      <t xml:space="preserve">Trishia Mae Dedase </t>
    </r>
    <r>
      <rPr>
        <sz val="9"/>
        <color rgb="FFFF0000"/>
        <rFont val="Arial"/>
        <family val="2"/>
      </rPr>
      <t>OR#4676</t>
    </r>
  </si>
  <si>
    <r>
      <rPr>
        <sz val="9"/>
        <rFont val="Arial"/>
        <family val="2"/>
      </rPr>
      <t xml:space="preserve">Alejandro Delarosa </t>
    </r>
    <r>
      <rPr>
        <sz val="9"/>
        <color rgb="FFFF0000"/>
        <rFont val="Arial"/>
        <family val="2"/>
      </rPr>
      <t>OR#4666</t>
    </r>
  </si>
  <si>
    <r>
      <rPr>
        <sz val="8"/>
        <color theme="1"/>
        <rFont val="Arial"/>
        <family val="2"/>
      </rPr>
      <t xml:space="preserve">Hannah Faye Delos Reyes </t>
    </r>
    <r>
      <rPr>
        <sz val="8"/>
        <color rgb="FFFF0000"/>
        <rFont val="Arial"/>
        <family val="2"/>
      </rPr>
      <t>OR#4658</t>
    </r>
  </si>
  <si>
    <t>Mar.3-Apr.2/24</t>
  </si>
  <si>
    <r>
      <rPr>
        <sz val="8"/>
        <rFont val="Arial"/>
        <family val="2"/>
      </rPr>
      <t xml:space="preserve">Ron Juliene Dominguino </t>
    </r>
    <r>
      <rPr>
        <sz val="8"/>
        <color rgb="FFFF0000"/>
        <rFont val="Arial"/>
        <family val="2"/>
      </rPr>
      <t>OR#4677</t>
    </r>
  </si>
  <si>
    <t>Mar.1-31/24</t>
  </si>
  <si>
    <r>
      <rPr>
        <sz val="9"/>
        <rFont val="Arial"/>
        <family val="2"/>
      </rPr>
      <t xml:space="preserve">Guilcyn Penetrante </t>
    </r>
    <r>
      <rPr>
        <sz val="9"/>
        <color rgb="FFFF0000"/>
        <rFont val="Arial"/>
        <family val="2"/>
      </rPr>
      <t>OR4673</t>
    </r>
  </si>
  <si>
    <t>Mar.30-Apr.29/24</t>
  </si>
  <si>
    <r>
      <rPr>
        <sz val="9"/>
        <rFont val="Arial"/>
        <family val="2"/>
      </rPr>
      <t>France Sacueza</t>
    </r>
    <r>
      <rPr>
        <sz val="9"/>
        <color rgb="FFFF0000"/>
        <rFont val="Arial"/>
        <family val="2"/>
      </rPr>
      <t xml:space="preserve"> OR#4669</t>
    </r>
  </si>
  <si>
    <t>Mar.28-Apr.27/24</t>
  </si>
  <si>
    <r>
      <rPr>
        <sz val="9"/>
        <color theme="1"/>
        <rFont val="Arial"/>
        <family val="2"/>
      </rPr>
      <t xml:space="preserve">Paul Cortex </t>
    </r>
    <r>
      <rPr>
        <sz val="9"/>
        <color rgb="FFFF0000"/>
        <rFont val="Arial"/>
        <family val="2"/>
      </rPr>
      <t>OR#4670</t>
    </r>
  </si>
  <si>
    <t>Mar.12-Apr.11/24</t>
  </si>
  <si>
    <r>
      <rPr>
        <sz val="9"/>
        <rFont val="Arial"/>
        <family val="2"/>
      </rPr>
      <t xml:space="preserve">EJ Millare </t>
    </r>
    <r>
      <rPr>
        <sz val="9"/>
        <color rgb="FFFF0000"/>
        <rFont val="Arial"/>
        <family val="2"/>
      </rPr>
      <t>OR#4675</t>
    </r>
  </si>
  <si>
    <r>
      <rPr>
        <sz val="9"/>
        <rFont val="Arial"/>
        <family val="2"/>
      </rPr>
      <t xml:space="preserve">Gyra Dilao </t>
    </r>
    <r>
      <rPr>
        <sz val="9"/>
        <color rgb="FFFF0000"/>
        <rFont val="Arial"/>
        <family val="2"/>
      </rPr>
      <t>O#4661</t>
    </r>
  </si>
  <si>
    <r>
      <rPr>
        <sz val="9"/>
        <rFont val="Arial"/>
        <family val="2"/>
      </rPr>
      <t xml:space="preserve">Daphie Burac </t>
    </r>
    <r>
      <rPr>
        <sz val="9"/>
        <color rgb="FFFF0000"/>
        <rFont val="Arial"/>
        <family val="2"/>
      </rPr>
      <t>OR#4664</t>
    </r>
  </si>
  <si>
    <r>
      <rPr>
        <sz val="9"/>
        <rFont val="Arial"/>
        <family val="2"/>
      </rPr>
      <t xml:space="preserve">Karl Alforte </t>
    </r>
    <r>
      <rPr>
        <sz val="9"/>
        <color rgb="FFFF0000"/>
        <rFont val="Arial"/>
        <family val="2"/>
      </rPr>
      <t>OR#4678</t>
    </r>
  </si>
  <si>
    <r>
      <rPr>
        <sz val="9"/>
        <rFont val="Arial"/>
        <family val="2"/>
      </rPr>
      <t xml:space="preserve">Jana Marmol </t>
    </r>
    <r>
      <rPr>
        <sz val="9"/>
        <color rgb="FFFF0000"/>
        <rFont val="Arial"/>
        <family val="2"/>
      </rPr>
      <t>OR#4663</t>
    </r>
  </si>
  <si>
    <t>Mar.18-Apr.17/24</t>
  </si>
  <si>
    <r>
      <rPr>
        <sz val="9"/>
        <rFont val="Arial"/>
        <family val="2"/>
      </rPr>
      <t xml:space="preserve">Mina Anusha Shruthi </t>
    </r>
    <r>
      <rPr>
        <sz val="9"/>
        <color rgb="FFFF0000"/>
        <rFont val="Arial"/>
        <family val="2"/>
      </rPr>
      <t>OR#4671</t>
    </r>
  </si>
  <si>
    <r>
      <rPr>
        <sz val="9"/>
        <color theme="1"/>
        <rFont val="Arial"/>
        <family val="2"/>
      </rPr>
      <t xml:space="preserve">Ariel Jay Broqueza </t>
    </r>
    <r>
      <rPr>
        <sz val="9"/>
        <color rgb="FFFF0000"/>
        <rFont val="Arial"/>
        <family val="2"/>
      </rPr>
      <t>OR#4679</t>
    </r>
  </si>
  <si>
    <r>
      <rPr>
        <sz val="9"/>
        <color theme="1"/>
        <rFont val="Arial"/>
        <family val="2"/>
      </rPr>
      <t xml:space="preserve">Pallavi Ravichandran </t>
    </r>
    <r>
      <rPr>
        <sz val="9"/>
        <color rgb="FFFF0000"/>
        <rFont val="Arial"/>
        <family val="2"/>
      </rPr>
      <t>OR#4667</t>
    </r>
  </si>
  <si>
    <r>
      <rPr>
        <sz val="9"/>
        <rFont val="Arial"/>
        <family val="2"/>
      </rPr>
      <t xml:space="preserve">Rayana Gigantone </t>
    </r>
    <r>
      <rPr>
        <sz val="9"/>
        <color rgb="FFFF0000"/>
        <rFont val="Arial"/>
        <family val="2"/>
      </rPr>
      <t>OR#4665</t>
    </r>
  </si>
  <si>
    <t>Mar.26- Apr.25 /24</t>
  </si>
  <si>
    <t>Mar.10-Apr.9/24</t>
  </si>
  <si>
    <t>Mar.21-Apr.20/24</t>
  </si>
  <si>
    <t>Mar.8-Apr.7/24</t>
  </si>
  <si>
    <t>Mar.31-Apr..29/24</t>
  </si>
  <si>
    <t>Mar. 2-Apr.1/24</t>
  </si>
  <si>
    <t>Mar.13-Apr.12/24</t>
  </si>
  <si>
    <t>Mar. 25-Ap.24/24</t>
  </si>
  <si>
    <t>April '2024</t>
  </si>
  <si>
    <r>
      <rPr>
        <sz val="9"/>
        <rFont val="Arial"/>
        <family val="2"/>
      </rPr>
      <t xml:space="preserve">Lobby Toor </t>
    </r>
    <r>
      <rPr>
        <sz val="9"/>
        <color rgb="FFFF0000"/>
        <rFont val="Arial"/>
        <family val="2"/>
      </rPr>
      <t>OR#4686</t>
    </r>
  </si>
  <si>
    <t>Apr.7-May 6/24</t>
  </si>
  <si>
    <r>
      <rPr>
        <sz val="9"/>
        <rFont val="Arial"/>
        <family val="2"/>
      </rPr>
      <t xml:space="preserve">Loiselle Ann Fungo </t>
    </r>
    <r>
      <rPr>
        <sz val="9"/>
        <color rgb="FFFF0000"/>
        <rFont val="Arial"/>
        <family val="2"/>
      </rPr>
      <t>OR#4684</t>
    </r>
  </si>
  <si>
    <t>Apr.15-May 14/24</t>
  </si>
  <si>
    <r>
      <rPr>
        <sz val="9"/>
        <rFont val="Arial"/>
        <family val="2"/>
      </rPr>
      <t>Daryl Rivero</t>
    </r>
    <r>
      <rPr>
        <sz val="9"/>
        <color rgb="FFFF0000"/>
        <rFont val="Arial"/>
        <family val="2"/>
      </rPr>
      <t xml:space="preserve"> OR#4690</t>
    </r>
  </si>
  <si>
    <t>Apr.26-May 25/24</t>
  </si>
  <si>
    <r>
      <rPr>
        <sz val="8"/>
        <rFont val="Arial"/>
        <family val="2"/>
      </rPr>
      <t>Sandrine Jammeka Mariano</t>
    </r>
    <r>
      <rPr>
        <sz val="8"/>
        <color rgb="FFFF0000"/>
        <rFont val="Arial"/>
        <family val="2"/>
      </rPr>
      <t xml:space="preserve"> OR#4680</t>
    </r>
  </si>
  <si>
    <t>Apr.9-May 8/24</t>
  </si>
  <si>
    <r>
      <rPr>
        <sz val="9"/>
        <color theme="1"/>
        <rFont val="Arial"/>
        <family val="2"/>
      </rPr>
      <t xml:space="preserve">Von Largo </t>
    </r>
    <r>
      <rPr>
        <sz val="9"/>
        <color rgb="FFFF0000"/>
        <rFont val="Arial"/>
        <family val="2"/>
      </rPr>
      <t>OR#4681</t>
    </r>
  </si>
  <si>
    <t>Apr.17-May 16/24</t>
  </si>
  <si>
    <r>
      <rPr>
        <sz val="9"/>
        <rFont val="Arial"/>
        <family val="2"/>
      </rPr>
      <t xml:space="preserve">Trishia Mae Dedase </t>
    </r>
    <r>
      <rPr>
        <sz val="9"/>
        <color rgb="FFFF0000"/>
        <rFont val="Arial"/>
        <family val="2"/>
      </rPr>
      <t>OR#4697</t>
    </r>
  </si>
  <si>
    <r>
      <rPr>
        <sz val="9"/>
        <rFont val="Arial"/>
        <family val="2"/>
      </rPr>
      <t xml:space="preserve">Alejandro Delarosa </t>
    </r>
    <r>
      <rPr>
        <sz val="9"/>
        <color rgb="FFFF0000"/>
        <rFont val="Arial"/>
        <family val="2"/>
      </rPr>
      <t>OR#4691</t>
    </r>
  </si>
  <si>
    <r>
      <rPr>
        <sz val="8"/>
        <color theme="1"/>
        <rFont val="Arial"/>
        <family val="2"/>
      </rPr>
      <t xml:space="preserve">Hannah Faye Delos Reyes </t>
    </r>
    <r>
      <rPr>
        <sz val="8"/>
        <color rgb="FFFF0000"/>
        <rFont val="Arial"/>
        <family val="2"/>
      </rPr>
      <t>OR#4674</t>
    </r>
  </si>
  <si>
    <t>Apr.3-May 2/24</t>
  </si>
  <si>
    <r>
      <rPr>
        <sz val="8"/>
        <rFont val="Arial"/>
        <family val="2"/>
      </rPr>
      <t xml:space="preserve">Ron Juliene Dominguino </t>
    </r>
    <r>
      <rPr>
        <sz val="8"/>
        <color rgb="FFFF0000"/>
        <rFont val="Arial"/>
        <family val="2"/>
      </rPr>
      <t>OR#4693</t>
    </r>
  </si>
  <si>
    <t>Apr.1-30/24</t>
  </si>
  <si>
    <r>
      <rPr>
        <sz val="9"/>
        <rFont val="Arial"/>
        <family val="2"/>
      </rPr>
      <t xml:space="preserve">Guilcyn Penetrante </t>
    </r>
    <r>
      <rPr>
        <sz val="9"/>
        <color rgb="FFFF0000"/>
        <rFont val="Arial"/>
        <family val="2"/>
      </rPr>
      <t>OR4696</t>
    </r>
  </si>
  <si>
    <t>Apr.30-May 29/24</t>
  </si>
  <si>
    <r>
      <rPr>
        <sz val="9"/>
        <rFont val="Arial"/>
        <family val="2"/>
      </rPr>
      <t>France Sacueza</t>
    </r>
    <r>
      <rPr>
        <sz val="9"/>
        <color rgb="FFFF0000"/>
        <rFont val="Arial"/>
        <family val="2"/>
      </rPr>
      <t xml:space="preserve"> OR#4687</t>
    </r>
  </si>
  <si>
    <t>Apr.28-May 27/24</t>
  </si>
  <si>
    <r>
      <rPr>
        <sz val="9"/>
        <rFont val="Arial"/>
        <family val="2"/>
      </rPr>
      <t xml:space="preserve">EJ Millare </t>
    </r>
    <r>
      <rPr>
        <sz val="9"/>
        <color rgb="FFFF0000"/>
        <rFont val="Arial"/>
        <family val="2"/>
      </rPr>
      <t>OR#4682</t>
    </r>
  </si>
  <si>
    <r>
      <rPr>
        <sz val="9"/>
        <rFont val="Arial"/>
        <family val="2"/>
      </rPr>
      <t xml:space="preserve">Gyra Dilao </t>
    </r>
    <r>
      <rPr>
        <sz val="9"/>
        <color rgb="FFFF0000"/>
        <rFont val="Arial"/>
        <family val="2"/>
      </rPr>
      <t>O#4683</t>
    </r>
  </si>
  <si>
    <r>
      <rPr>
        <sz val="9"/>
        <rFont val="Arial"/>
        <family val="2"/>
      </rPr>
      <t xml:space="preserve">Daphie Burac </t>
    </r>
    <r>
      <rPr>
        <sz val="9"/>
        <color rgb="FFFF0000"/>
        <rFont val="Arial"/>
        <family val="2"/>
      </rPr>
      <t>OR#4694</t>
    </r>
  </si>
  <si>
    <r>
      <rPr>
        <sz val="9"/>
        <rFont val="Arial"/>
        <family val="2"/>
      </rPr>
      <t xml:space="preserve">Jana Marmol </t>
    </r>
    <r>
      <rPr>
        <sz val="9"/>
        <color rgb="FFFF0000"/>
        <rFont val="Arial"/>
        <family val="2"/>
      </rPr>
      <t>OR#4692</t>
    </r>
  </si>
  <si>
    <t>Ap.18-May 17/24</t>
  </si>
  <si>
    <r>
      <rPr>
        <sz val="9"/>
        <rFont val="Arial"/>
        <family val="2"/>
      </rPr>
      <t xml:space="preserve">Mina Anusha Shruthi </t>
    </r>
    <r>
      <rPr>
        <sz val="9"/>
        <color rgb="FFFF0000"/>
        <rFont val="Arial"/>
        <family val="2"/>
      </rPr>
      <t>OR#4688</t>
    </r>
  </si>
  <si>
    <r>
      <rPr>
        <sz val="9"/>
        <color theme="1"/>
        <rFont val="Arial"/>
        <family val="2"/>
      </rPr>
      <t xml:space="preserve">Pallavi Ravichandran </t>
    </r>
    <r>
      <rPr>
        <sz val="9"/>
        <color rgb="FFFF0000"/>
        <rFont val="Arial"/>
        <family val="2"/>
      </rPr>
      <t>OR#4689</t>
    </r>
  </si>
  <si>
    <r>
      <rPr>
        <sz val="9"/>
        <rFont val="Arial"/>
        <family val="2"/>
      </rPr>
      <t xml:space="preserve">Rayana Gigantone </t>
    </r>
    <r>
      <rPr>
        <sz val="9"/>
        <color rgb="FFFF0000"/>
        <rFont val="Arial"/>
        <family val="2"/>
      </rPr>
      <t>OR#4685</t>
    </r>
  </si>
  <si>
    <t>Apr.26- May 25 /24</t>
  </si>
  <si>
    <t>Apr.10-May 9/24</t>
  </si>
  <si>
    <t>Apr.21-May 20/24</t>
  </si>
  <si>
    <t>Ap.3-May 2/24</t>
  </si>
  <si>
    <t>Ap.8-May 7/24</t>
  </si>
  <si>
    <t>Apr.31-May.29/24</t>
  </si>
  <si>
    <t>Apr. 2-May 1/24</t>
  </si>
  <si>
    <t>Apr.15-Mar.14/24</t>
  </si>
  <si>
    <t>Apr.13-May 12/24</t>
  </si>
  <si>
    <t>Apr. 25-May 24/24</t>
  </si>
  <si>
    <t>May '2024</t>
  </si>
  <si>
    <r>
      <rPr>
        <sz val="9"/>
        <rFont val="Arial"/>
        <family val="2"/>
      </rPr>
      <t xml:space="preserve">Lobby Toor </t>
    </r>
    <r>
      <rPr>
        <sz val="9"/>
        <color rgb="FFFF0000"/>
        <rFont val="Arial"/>
        <family val="2"/>
      </rPr>
      <t>OR#4716</t>
    </r>
  </si>
  <si>
    <t>May 7-Jun.6/24</t>
  </si>
  <si>
    <r>
      <rPr>
        <sz val="9"/>
        <rFont val="Arial"/>
        <family val="2"/>
      </rPr>
      <t xml:space="preserve">Loiselle Ann Fungo </t>
    </r>
    <r>
      <rPr>
        <sz val="9"/>
        <color rgb="FFFF0000"/>
        <rFont val="Arial"/>
        <family val="2"/>
      </rPr>
      <t>OR#4699</t>
    </r>
  </si>
  <si>
    <t>May 15-Jun.14/24</t>
  </si>
  <si>
    <r>
      <rPr>
        <sz val="9"/>
        <rFont val="Arial"/>
        <family val="2"/>
      </rPr>
      <t>Daryl Rivero</t>
    </r>
    <r>
      <rPr>
        <sz val="9"/>
        <color rgb="FFFF0000"/>
        <rFont val="Arial"/>
        <family val="2"/>
      </rPr>
      <t xml:space="preserve"> OR#4715</t>
    </r>
  </si>
  <si>
    <t>May 26-Jun.25/24</t>
  </si>
  <si>
    <r>
      <rPr>
        <sz val="8"/>
        <rFont val="Arial"/>
        <family val="2"/>
      </rPr>
      <t>Sandrine Jammeka Mariano</t>
    </r>
    <r>
      <rPr>
        <sz val="8"/>
        <color rgb="FFFF0000"/>
        <rFont val="Arial"/>
        <family val="2"/>
      </rPr>
      <t xml:space="preserve"> OR#4698</t>
    </r>
  </si>
  <si>
    <t>May 9-Jun.8/24</t>
  </si>
  <si>
    <r>
      <rPr>
        <sz val="9"/>
        <color theme="1"/>
        <rFont val="Arial"/>
        <family val="2"/>
      </rPr>
      <t xml:space="preserve">Von Largo </t>
    </r>
    <r>
      <rPr>
        <sz val="9"/>
        <color rgb="FFFF0000"/>
        <rFont val="Arial"/>
        <family val="2"/>
      </rPr>
      <t>OR#4700</t>
    </r>
  </si>
  <si>
    <t>May 17-Jun.16/24</t>
  </si>
  <si>
    <r>
      <rPr>
        <sz val="9"/>
        <rFont val="Arial"/>
        <family val="2"/>
      </rPr>
      <t xml:space="preserve">Trishia Mae Dedase </t>
    </r>
    <r>
      <rPr>
        <sz val="9"/>
        <color rgb="FFFF0000"/>
        <rFont val="Arial"/>
        <family val="2"/>
      </rPr>
      <t>OR#4717</t>
    </r>
  </si>
  <si>
    <r>
      <rPr>
        <sz val="9"/>
        <rFont val="Arial"/>
        <family val="2"/>
      </rPr>
      <t xml:space="preserve">Alejandro Delarosa </t>
    </r>
    <r>
      <rPr>
        <sz val="9"/>
        <color rgb="FFFF0000"/>
        <rFont val="Arial"/>
        <family val="2"/>
      </rPr>
      <t>OR#4711</t>
    </r>
  </si>
  <si>
    <r>
      <rPr>
        <sz val="8"/>
        <color theme="1"/>
        <rFont val="Arial"/>
        <family val="2"/>
      </rPr>
      <t xml:space="preserve">Hannah Faye Delos Reyes </t>
    </r>
    <r>
      <rPr>
        <sz val="8"/>
        <color rgb="FFFF0000"/>
        <rFont val="Arial"/>
        <family val="2"/>
      </rPr>
      <t>OR#4695</t>
    </r>
  </si>
  <si>
    <t>May 3-Jun.2/24</t>
  </si>
  <si>
    <r>
      <rPr>
        <sz val="8"/>
        <rFont val="Arial"/>
        <family val="2"/>
      </rPr>
      <t xml:space="preserve">Ron Juliene Dominguino </t>
    </r>
    <r>
      <rPr>
        <sz val="8"/>
        <color rgb="FFFF0000"/>
        <rFont val="Arial"/>
        <family val="2"/>
      </rPr>
      <t>OR#4713</t>
    </r>
  </si>
  <si>
    <t>May 1-31/24</t>
  </si>
  <si>
    <r>
      <rPr>
        <sz val="9"/>
        <rFont val="Arial"/>
        <family val="2"/>
      </rPr>
      <t xml:space="preserve">Guilcyn Penetrante </t>
    </r>
    <r>
      <rPr>
        <sz val="9"/>
        <color rgb="FFFF0000"/>
        <rFont val="Arial"/>
        <family val="2"/>
      </rPr>
      <t>OR4714</t>
    </r>
  </si>
  <si>
    <t>May 30-Jun.29/24</t>
  </si>
  <si>
    <r>
      <rPr>
        <sz val="9"/>
        <rFont val="Arial"/>
        <family val="2"/>
      </rPr>
      <t>France Sacueza</t>
    </r>
    <r>
      <rPr>
        <sz val="9"/>
        <color rgb="FFFF0000"/>
        <rFont val="Arial"/>
        <family val="2"/>
      </rPr>
      <t xml:space="preserve"> OR#4709</t>
    </r>
  </si>
  <si>
    <t>May 28-Jun.27/24</t>
  </si>
  <si>
    <r>
      <rPr>
        <sz val="9"/>
        <color theme="1"/>
        <rFont val="Arial"/>
        <family val="2"/>
      </rPr>
      <t xml:space="preserve">Juchel Bernales </t>
    </r>
    <r>
      <rPr>
        <sz val="9"/>
        <color rgb="FFFF0000"/>
        <rFont val="Arial"/>
        <family val="2"/>
      </rPr>
      <t>OR#4705</t>
    </r>
  </si>
  <si>
    <t>May 12-Jun.11/24</t>
  </si>
  <si>
    <t>May 27/24</t>
  </si>
  <si>
    <r>
      <rPr>
        <sz val="9"/>
        <rFont val="Arial"/>
        <family val="2"/>
      </rPr>
      <t xml:space="preserve">EJ Millare </t>
    </r>
    <r>
      <rPr>
        <sz val="9"/>
        <color rgb="FFFF0000"/>
        <rFont val="Arial"/>
        <family val="2"/>
      </rPr>
      <t>OR#4703</t>
    </r>
  </si>
  <si>
    <r>
      <rPr>
        <sz val="9"/>
        <rFont val="Arial"/>
        <family val="2"/>
      </rPr>
      <t xml:space="preserve">Daphie Burac </t>
    </r>
    <r>
      <rPr>
        <sz val="9"/>
        <color rgb="FFFF0000"/>
        <rFont val="Arial"/>
        <family val="2"/>
      </rPr>
      <t>OR#4706</t>
    </r>
  </si>
  <si>
    <r>
      <rPr>
        <sz val="9"/>
        <rFont val="Arial"/>
        <family val="2"/>
      </rPr>
      <t xml:space="preserve">M.Juselle Escuro </t>
    </r>
    <r>
      <rPr>
        <sz val="9"/>
        <color rgb="FFFF0000"/>
        <rFont val="Arial"/>
        <family val="2"/>
      </rPr>
      <t>OR#4704</t>
    </r>
  </si>
  <si>
    <t>May/26/24</t>
  </si>
  <si>
    <r>
      <rPr>
        <sz val="9"/>
        <rFont val="Arial"/>
        <family val="2"/>
      </rPr>
      <t xml:space="preserve">Athalia Ayusip </t>
    </r>
    <r>
      <rPr>
        <sz val="9"/>
        <color rgb="FFFF0000"/>
        <rFont val="Arial"/>
        <family val="2"/>
      </rPr>
      <t>OR#4708</t>
    </r>
  </si>
  <si>
    <t>May 31-Jun.30/24</t>
  </si>
  <si>
    <t>May 31/24</t>
  </si>
  <si>
    <r>
      <rPr>
        <sz val="9"/>
        <rFont val="Arial"/>
        <family val="2"/>
      </rPr>
      <t xml:space="preserve">Jana Marmol </t>
    </r>
    <r>
      <rPr>
        <sz val="9"/>
        <color rgb="FFFF0000"/>
        <rFont val="Arial"/>
        <family val="2"/>
      </rPr>
      <t>OR#4702</t>
    </r>
  </si>
  <si>
    <t>May 18-Jun.17/24</t>
  </si>
  <si>
    <r>
      <rPr>
        <sz val="9"/>
        <rFont val="Arial"/>
        <family val="2"/>
      </rPr>
      <t xml:space="preserve">Mina Anusha Shruthi </t>
    </r>
    <r>
      <rPr>
        <sz val="9"/>
        <color rgb="FFFF0000"/>
        <rFont val="Arial"/>
        <family val="2"/>
      </rPr>
      <t>OR#4710</t>
    </r>
  </si>
  <si>
    <r>
      <rPr>
        <sz val="9"/>
        <color theme="1"/>
        <rFont val="Arial"/>
        <family val="2"/>
      </rPr>
      <t xml:space="preserve">Pallavi Ravichandran </t>
    </r>
    <r>
      <rPr>
        <sz val="9"/>
        <color rgb="FFFF0000"/>
        <rFont val="Arial"/>
        <family val="2"/>
      </rPr>
      <t>OR#4707</t>
    </r>
  </si>
  <si>
    <r>
      <rPr>
        <sz val="9"/>
        <rFont val="Arial"/>
        <family val="2"/>
      </rPr>
      <t xml:space="preserve">Rayana Gigantone </t>
    </r>
    <r>
      <rPr>
        <sz val="9"/>
        <color rgb="FFFF0000"/>
        <rFont val="Arial"/>
        <family val="2"/>
      </rPr>
      <t>OR#4701</t>
    </r>
  </si>
  <si>
    <t>May 26-Jun.25 /24</t>
  </si>
  <si>
    <t>May 10-Jun.9/24</t>
  </si>
  <si>
    <t>31-Maay-24</t>
  </si>
  <si>
    <t>May 21-Jun.20/24</t>
  </si>
  <si>
    <t>21-Maay-24</t>
  </si>
  <si>
    <t>May 8-Jun.7/24</t>
  </si>
  <si>
    <t>May.31-Jun.29/24</t>
  </si>
  <si>
    <t>Angela Solares</t>
  </si>
  <si>
    <t>May  28/24</t>
  </si>
  <si>
    <t>4-Maay-24</t>
  </si>
  <si>
    <t>May 2-Jun.1/24</t>
  </si>
  <si>
    <t>May 13-Jun.12/24</t>
  </si>
  <si>
    <t>May 25-Jun.24/24</t>
  </si>
  <si>
    <t>June '2024</t>
  </si>
  <si>
    <r>
      <rPr>
        <sz val="9"/>
        <rFont val="Arial"/>
        <family val="2"/>
      </rPr>
      <t xml:space="preserve">Lobby Toor </t>
    </r>
    <r>
      <rPr>
        <sz val="9"/>
        <color rgb="FFFF0000"/>
        <rFont val="Arial"/>
        <family val="2"/>
      </rPr>
      <t>OR#4730</t>
    </r>
  </si>
  <si>
    <t>Jun.7-Jul.6/24</t>
  </si>
  <si>
    <r>
      <rPr>
        <sz val="9"/>
        <rFont val="Arial"/>
        <family val="2"/>
      </rPr>
      <t xml:space="preserve">Jade Marmol  </t>
    </r>
    <r>
      <rPr>
        <sz val="9"/>
        <color rgb="FFFF0000"/>
        <rFont val="Arial"/>
        <family val="2"/>
      </rPr>
      <t>OR#4726</t>
    </r>
  </si>
  <si>
    <t>Jun.29-Jul.28/24</t>
  </si>
  <si>
    <t>June 29/24</t>
  </si>
  <si>
    <r>
      <rPr>
        <sz val="9"/>
        <rFont val="Arial"/>
        <family val="2"/>
      </rPr>
      <t>Daryl Rivero</t>
    </r>
    <r>
      <rPr>
        <sz val="9"/>
        <color rgb="FFFF0000"/>
        <rFont val="Arial"/>
        <family val="2"/>
      </rPr>
      <t xml:space="preserve"> OR#4729</t>
    </r>
  </si>
  <si>
    <t>Jun.26-Jul.25/24</t>
  </si>
  <si>
    <r>
      <rPr>
        <sz val="8"/>
        <rFont val="Arial"/>
        <family val="2"/>
      </rPr>
      <t>Sandrine Jammeka Mariano</t>
    </r>
    <r>
      <rPr>
        <sz val="8"/>
        <color rgb="FFFF0000"/>
        <rFont val="Arial"/>
        <family val="2"/>
      </rPr>
      <t xml:space="preserve"> OR#4719</t>
    </r>
  </si>
  <si>
    <t>Jun.9-Jul.8/24</t>
  </si>
  <si>
    <r>
      <rPr>
        <sz val="9"/>
        <color theme="1"/>
        <rFont val="Arial"/>
        <family val="2"/>
      </rPr>
      <t xml:space="preserve">Von Largo </t>
    </r>
    <r>
      <rPr>
        <sz val="9"/>
        <color rgb="FFFF0000"/>
        <rFont val="Arial"/>
        <family val="2"/>
      </rPr>
      <t>OR#4725</t>
    </r>
  </si>
  <si>
    <t>Jun.17-Jul.16/24</t>
  </si>
  <si>
    <r>
      <rPr>
        <sz val="9"/>
        <rFont val="Arial"/>
        <family val="2"/>
      </rPr>
      <t xml:space="preserve">Trishia Mae Dedase </t>
    </r>
    <r>
      <rPr>
        <sz val="9"/>
        <color rgb="FFFF0000"/>
        <rFont val="Arial"/>
        <family val="2"/>
      </rPr>
      <t>OR#4736</t>
    </r>
  </si>
  <si>
    <t>Jun.15-Jul.14/24</t>
  </si>
  <si>
    <r>
      <rPr>
        <sz val="9"/>
        <rFont val="Arial"/>
        <family val="2"/>
      </rPr>
      <t xml:space="preserve">Alejandro Delarosa </t>
    </r>
    <r>
      <rPr>
        <sz val="9"/>
        <color rgb="FFFF0000"/>
        <rFont val="Arial"/>
        <family val="2"/>
      </rPr>
      <t>OR#4727</t>
    </r>
  </si>
  <si>
    <r>
      <rPr>
        <sz val="8"/>
        <color theme="1"/>
        <rFont val="Arial"/>
        <family val="2"/>
      </rPr>
      <t xml:space="preserve">Hannah Faye Delos Reyes </t>
    </r>
    <r>
      <rPr>
        <sz val="8"/>
        <color rgb="FFFF0000"/>
        <rFont val="Arial"/>
        <family val="2"/>
      </rPr>
      <t>OR#4718</t>
    </r>
  </si>
  <si>
    <t>Jun.3-Jul.2/24</t>
  </si>
  <si>
    <r>
      <rPr>
        <sz val="8"/>
        <rFont val="Arial"/>
        <family val="2"/>
      </rPr>
      <t xml:space="preserve">Ron Juliene Dominguino </t>
    </r>
    <r>
      <rPr>
        <sz val="8"/>
        <color rgb="FFFF0000"/>
        <rFont val="Arial"/>
        <family val="2"/>
      </rPr>
      <t>OR#4732</t>
    </r>
  </si>
  <si>
    <t>Jun.1-30/24</t>
  </si>
  <si>
    <r>
      <rPr>
        <sz val="9"/>
        <rFont val="Arial"/>
        <family val="2"/>
      </rPr>
      <t xml:space="preserve">Guilcyn Penetrante </t>
    </r>
    <r>
      <rPr>
        <sz val="9"/>
        <color rgb="FFFF0000"/>
        <rFont val="Arial"/>
        <family val="2"/>
      </rPr>
      <t>OR4737</t>
    </r>
  </si>
  <si>
    <t>Jun.30-Jul.29/24</t>
  </si>
  <si>
    <r>
      <rPr>
        <sz val="9"/>
        <rFont val="Arial"/>
        <family val="2"/>
      </rPr>
      <t xml:space="preserve">Balu Sandhi </t>
    </r>
    <r>
      <rPr>
        <sz val="9"/>
        <color rgb="FFFF0000"/>
        <rFont val="Arial"/>
        <family val="2"/>
      </rPr>
      <t>OR#4733</t>
    </r>
  </si>
  <si>
    <t>Jun.28-Jul.27/24</t>
  </si>
  <si>
    <r>
      <rPr>
        <sz val="9"/>
        <color theme="1"/>
        <rFont val="Arial"/>
        <family val="2"/>
      </rPr>
      <t xml:space="preserve">Juchel Bernales </t>
    </r>
    <r>
      <rPr>
        <sz val="9"/>
        <color rgb="FFFF0000"/>
        <rFont val="Arial"/>
        <family val="2"/>
      </rPr>
      <t>OR#4721</t>
    </r>
  </si>
  <si>
    <t>Jun.27-Jul.26/24</t>
  </si>
  <si>
    <r>
      <rPr>
        <sz val="9"/>
        <rFont val="Arial"/>
        <family val="2"/>
      </rPr>
      <t xml:space="preserve">EJ Millare </t>
    </r>
    <r>
      <rPr>
        <sz val="9"/>
        <color rgb="FFFF0000"/>
        <rFont val="Arial"/>
        <family val="2"/>
      </rPr>
      <t>OR#4731</t>
    </r>
  </si>
  <si>
    <r>
      <rPr>
        <sz val="9"/>
        <rFont val="Arial"/>
        <family val="2"/>
      </rPr>
      <t xml:space="preserve">Daphie Burac </t>
    </r>
    <r>
      <rPr>
        <sz val="9"/>
        <color rgb="FFFF0000"/>
        <rFont val="Arial"/>
        <family val="2"/>
      </rPr>
      <t>OR#4722</t>
    </r>
  </si>
  <si>
    <r>
      <rPr>
        <sz val="9"/>
        <rFont val="Arial"/>
        <family val="2"/>
      </rPr>
      <t xml:space="preserve">M.Juselle Escuro </t>
    </r>
    <r>
      <rPr>
        <sz val="9"/>
        <color rgb="FFFF0000"/>
        <rFont val="Arial"/>
        <family val="2"/>
      </rPr>
      <t>OR#4728</t>
    </r>
  </si>
  <si>
    <r>
      <rPr>
        <sz val="9"/>
        <rFont val="Arial"/>
        <family val="2"/>
      </rPr>
      <t xml:space="preserve">Athalia Ayusip </t>
    </r>
    <r>
      <rPr>
        <sz val="9"/>
        <color rgb="FFFF0000"/>
        <rFont val="Arial"/>
        <family val="2"/>
      </rPr>
      <t>OR#4738</t>
    </r>
  </si>
  <si>
    <r>
      <rPr>
        <sz val="9"/>
        <rFont val="Arial"/>
        <family val="2"/>
      </rPr>
      <t xml:space="preserve">Mina Anusha Shruthi </t>
    </r>
    <r>
      <rPr>
        <sz val="9"/>
        <color rgb="FFFF0000"/>
        <rFont val="Arial"/>
        <family val="2"/>
      </rPr>
      <t>OR#4723</t>
    </r>
  </si>
  <si>
    <r>
      <rPr>
        <sz val="9"/>
        <color theme="1"/>
        <rFont val="Arial"/>
        <family val="2"/>
      </rPr>
      <t xml:space="preserve">Mireel Fatima Parcarey </t>
    </r>
    <r>
      <rPr>
        <sz val="8"/>
        <color rgb="FFFF0000"/>
        <rFont val="Arial"/>
        <family val="2"/>
      </rPr>
      <t>OR#4712</t>
    </r>
  </si>
  <si>
    <t>Jun.1/24</t>
  </si>
  <si>
    <r>
      <rPr>
        <sz val="9"/>
        <color theme="1"/>
        <rFont val="Arial"/>
        <family val="2"/>
      </rPr>
      <t xml:space="preserve">Pallavi Ravichandran </t>
    </r>
    <r>
      <rPr>
        <sz val="9"/>
        <color rgb="FFFF0000"/>
        <rFont val="Arial"/>
        <family val="2"/>
      </rPr>
      <t>OR#4724</t>
    </r>
  </si>
  <si>
    <t>Jun.18-Jul.17/24</t>
  </si>
  <si>
    <r>
      <rPr>
        <sz val="9"/>
        <rFont val="Arial"/>
        <family val="2"/>
      </rPr>
      <t xml:space="preserve">Rayana Gigantone </t>
    </r>
    <r>
      <rPr>
        <sz val="9"/>
        <color rgb="FFFF0000"/>
        <rFont val="Arial"/>
        <family val="2"/>
      </rPr>
      <t>OR#4720</t>
    </r>
  </si>
  <si>
    <t>Jun.26-Jul.25 /24</t>
  </si>
  <si>
    <t>Jun.10-Jul.9/24</t>
  </si>
  <si>
    <t>Jun.21-Jul.20/24</t>
  </si>
  <si>
    <t>Jun.8-Jul.7/24</t>
  </si>
  <si>
    <t>Jun.31-Jul.29/24</t>
  </si>
  <si>
    <t>Jun  28-Jul.27/24</t>
  </si>
  <si>
    <t>Jun.2-Jul.1/24</t>
  </si>
  <si>
    <t>Jun.13-Jul.12/24</t>
  </si>
  <si>
    <t>Jun.25-Jul.24/24</t>
  </si>
  <si>
    <t>July '2024</t>
  </si>
  <si>
    <r>
      <rPr>
        <sz val="9"/>
        <rFont val="Arial"/>
        <family val="2"/>
      </rPr>
      <t xml:space="preserve">Lobby Toor </t>
    </r>
    <r>
      <rPr>
        <sz val="9"/>
        <color rgb="FFFF0000"/>
        <rFont val="Arial"/>
        <family val="2"/>
      </rPr>
      <t>OR#4751</t>
    </r>
  </si>
  <si>
    <t>Jul.7-Aug.6/24</t>
  </si>
  <si>
    <t>Jul.29-Aug28/24</t>
  </si>
  <si>
    <r>
      <rPr>
        <sz val="9"/>
        <rFont val="Arial"/>
        <family val="2"/>
      </rPr>
      <t>Daryl Rivero</t>
    </r>
    <r>
      <rPr>
        <sz val="9"/>
        <color rgb="FFFF0000"/>
        <rFont val="Arial"/>
        <family val="2"/>
      </rPr>
      <t xml:space="preserve"> OR#4741</t>
    </r>
  </si>
  <si>
    <t>Jul.26-Aug.25/24</t>
  </si>
  <si>
    <r>
      <rPr>
        <sz val="8"/>
        <rFont val="Arial"/>
        <family val="2"/>
      </rPr>
      <t>Sandrine Jammeka Mariano</t>
    </r>
    <r>
      <rPr>
        <sz val="8"/>
        <color rgb="FFFF0000"/>
        <rFont val="Arial"/>
        <family val="2"/>
      </rPr>
      <t xml:space="preserve"> OR#4740</t>
    </r>
  </si>
  <si>
    <t>Jul.9-Aug.8/24</t>
  </si>
  <si>
    <r>
      <rPr>
        <sz val="9"/>
        <color theme="1"/>
        <rFont val="Arial"/>
        <family val="2"/>
      </rPr>
      <t xml:space="preserve">Von Largo </t>
    </r>
    <r>
      <rPr>
        <sz val="9"/>
        <color rgb="FFFF0000"/>
        <rFont val="Arial"/>
        <family val="2"/>
      </rPr>
      <t>OR#4752</t>
    </r>
  </si>
  <si>
    <t>Jul.17-Aug.16/24</t>
  </si>
  <si>
    <r>
      <rPr>
        <sz val="9"/>
        <rFont val="Arial"/>
        <family val="2"/>
      </rPr>
      <t xml:space="preserve">Alejandro Delarosa </t>
    </r>
    <r>
      <rPr>
        <sz val="9"/>
        <color rgb="FFFF0000"/>
        <rFont val="Arial"/>
        <family val="2"/>
      </rPr>
      <t>OR#4750</t>
    </r>
  </si>
  <si>
    <t>Jul.15-Aug.14/24</t>
  </si>
  <si>
    <r>
      <rPr>
        <sz val="8"/>
        <color theme="1"/>
        <rFont val="Arial"/>
        <family val="2"/>
      </rPr>
      <t xml:space="preserve">Hannah Faye Delos Reyes </t>
    </r>
    <r>
      <rPr>
        <sz val="8"/>
        <color rgb="FFFF0000"/>
        <rFont val="Arial"/>
        <family val="2"/>
      </rPr>
      <t>OR#4735</t>
    </r>
  </si>
  <si>
    <t>Jul.3-Aug.2/24</t>
  </si>
  <si>
    <r>
      <rPr>
        <sz val="8"/>
        <rFont val="Arial"/>
        <family val="2"/>
      </rPr>
      <t xml:space="preserve">Ron Juliene Dominguino </t>
    </r>
    <r>
      <rPr>
        <sz val="8"/>
        <color rgb="FFFF0000"/>
        <rFont val="Arial"/>
        <family val="2"/>
      </rPr>
      <t>OR#4753</t>
    </r>
  </si>
  <si>
    <t>Jul.1-31/24</t>
  </si>
  <si>
    <r>
      <rPr>
        <sz val="9"/>
        <rFont val="Arial"/>
        <family val="2"/>
      </rPr>
      <t xml:space="preserve">Guilcyn Penetrante </t>
    </r>
    <r>
      <rPr>
        <sz val="9"/>
        <color rgb="FFFF0000"/>
        <rFont val="Arial"/>
        <family val="2"/>
      </rPr>
      <t>OR4748</t>
    </r>
  </si>
  <si>
    <t>Jul.30-Aug.29/24</t>
  </si>
  <si>
    <r>
      <rPr>
        <sz val="9"/>
        <rFont val="Arial"/>
        <family val="2"/>
      </rPr>
      <t xml:space="preserve">Balu Sandhi </t>
    </r>
    <r>
      <rPr>
        <sz val="9"/>
        <color rgb="FFFF0000"/>
        <rFont val="Arial"/>
        <family val="2"/>
      </rPr>
      <t>OR#4749</t>
    </r>
  </si>
  <si>
    <t>Jul.28-Aug.27/24</t>
  </si>
  <si>
    <r>
      <rPr>
        <sz val="9"/>
        <color theme="1"/>
        <rFont val="Arial"/>
        <family val="2"/>
      </rPr>
      <t xml:space="preserve">Juchel Bernales </t>
    </r>
    <r>
      <rPr>
        <sz val="9"/>
        <color rgb="FFFF0000"/>
        <rFont val="Arial"/>
        <family val="2"/>
      </rPr>
      <t>OR#4744</t>
    </r>
  </si>
  <si>
    <t>Jul.27-Aug26/24</t>
  </si>
  <si>
    <r>
      <rPr>
        <sz val="9"/>
        <rFont val="Arial"/>
        <family val="2"/>
      </rPr>
      <t xml:space="preserve">EJ Millare </t>
    </r>
    <r>
      <rPr>
        <sz val="9"/>
        <color rgb="FFFF0000"/>
        <rFont val="Arial"/>
        <family val="2"/>
      </rPr>
      <t>OR#4745</t>
    </r>
  </si>
  <si>
    <r>
      <rPr>
        <sz val="9"/>
        <rFont val="Arial"/>
        <family val="2"/>
      </rPr>
      <t xml:space="preserve">Sancueza France </t>
    </r>
    <r>
      <rPr>
        <sz val="9"/>
        <color rgb="FFFF0000"/>
        <rFont val="Arial"/>
        <family val="2"/>
      </rPr>
      <t>OR#4739</t>
    </r>
  </si>
  <si>
    <t>Jul.10-Aug.9/24</t>
  </si>
  <si>
    <t>July 10/24</t>
  </si>
  <si>
    <r>
      <rPr>
        <sz val="9"/>
        <rFont val="Arial"/>
        <family val="2"/>
      </rPr>
      <t xml:space="preserve">M.Juselle Escuro </t>
    </r>
    <r>
      <rPr>
        <sz val="9"/>
        <color rgb="FFFF0000"/>
        <rFont val="Arial"/>
        <family val="2"/>
      </rPr>
      <t>OR#4754</t>
    </r>
  </si>
  <si>
    <r>
      <rPr>
        <sz val="9"/>
        <rFont val="Arial"/>
        <family val="2"/>
      </rPr>
      <t xml:space="preserve">Athalia Ayusip </t>
    </r>
    <r>
      <rPr>
        <sz val="9"/>
        <color rgb="FFFF0000"/>
        <rFont val="Arial"/>
        <family val="2"/>
      </rPr>
      <t>OR#4742</t>
    </r>
  </si>
  <si>
    <t>Jul.31-Aug.30/24</t>
  </si>
  <si>
    <r>
      <rPr>
        <sz val="9"/>
        <rFont val="Arial"/>
        <family val="2"/>
      </rPr>
      <t xml:space="preserve">Bob Dumas </t>
    </r>
    <r>
      <rPr>
        <sz val="9"/>
        <color rgb="FFFF0000"/>
        <rFont val="Arial"/>
        <family val="2"/>
      </rPr>
      <t>OR#4747</t>
    </r>
  </si>
  <si>
    <t>Jul.31/24</t>
  </si>
  <si>
    <r>
      <rPr>
        <sz val="9"/>
        <rFont val="Arial"/>
        <family val="2"/>
      </rPr>
      <t xml:space="preserve">Mina Anusha Shruthi </t>
    </r>
    <r>
      <rPr>
        <sz val="9"/>
        <color rgb="FFFF0000"/>
        <rFont val="Arial"/>
        <family val="2"/>
      </rPr>
      <t>OR#4755</t>
    </r>
  </si>
  <si>
    <r>
      <rPr>
        <sz val="9"/>
        <color theme="1"/>
        <rFont val="Arial"/>
        <family val="2"/>
      </rPr>
      <t xml:space="preserve">Mireel Fatima Parcarey </t>
    </r>
    <r>
      <rPr>
        <sz val="8"/>
        <color rgb="FFFF0000"/>
        <rFont val="Arial"/>
        <family val="2"/>
      </rPr>
      <t>OR#4734</t>
    </r>
  </si>
  <si>
    <t>Jul.1-30/24</t>
  </si>
  <si>
    <r>
      <rPr>
        <sz val="9"/>
        <color theme="1"/>
        <rFont val="Arial"/>
        <family val="2"/>
      </rPr>
      <t xml:space="preserve">Pallavi Ravichandran </t>
    </r>
    <r>
      <rPr>
        <sz val="9"/>
        <color rgb="FFFF0000"/>
        <rFont val="Arial"/>
        <family val="2"/>
      </rPr>
      <t>OR#4756</t>
    </r>
  </si>
  <si>
    <t>Jul.18-Aug.17/24</t>
  </si>
  <si>
    <r>
      <rPr>
        <sz val="9"/>
        <rFont val="Arial"/>
        <family val="2"/>
      </rPr>
      <t xml:space="preserve">Jayson Anonuevo </t>
    </r>
    <r>
      <rPr>
        <sz val="9"/>
        <color rgb="FFFF0000"/>
        <rFont val="Arial"/>
        <family val="2"/>
      </rPr>
      <t>OR#4746</t>
    </r>
  </si>
  <si>
    <t>July 31/24</t>
  </si>
  <si>
    <t>Jul.21-Aug.20/24</t>
  </si>
  <si>
    <t>Jul.31-Aug.l29/24</t>
  </si>
  <si>
    <t>Jul28-Aug.27/24</t>
  </si>
  <si>
    <t>Jul.2-Aug.1/24</t>
  </si>
  <si>
    <t>Jul.13-Aug.12/24</t>
  </si>
  <si>
    <t>Jul.25-Aug.24/24</t>
  </si>
  <si>
    <t>August '2024</t>
  </si>
  <si>
    <r>
      <rPr>
        <sz val="9"/>
        <rFont val="Arial"/>
        <family val="2"/>
      </rPr>
      <t xml:space="preserve">Lobby Toor </t>
    </r>
    <r>
      <rPr>
        <sz val="9"/>
        <color rgb="FFFF0000"/>
        <rFont val="Arial"/>
        <family val="2"/>
      </rPr>
      <t>OR#4771</t>
    </r>
  </si>
  <si>
    <t>Aug.7-Sep.6/24</t>
  </si>
  <si>
    <r>
      <rPr>
        <sz val="9"/>
        <rFont val="Arial"/>
        <family val="2"/>
      </rPr>
      <t xml:space="preserve">Jade Marmol  </t>
    </r>
    <r>
      <rPr>
        <sz val="9"/>
        <color rgb="FFFF0000"/>
        <rFont val="Arial"/>
        <family val="2"/>
      </rPr>
      <t>OR#4763</t>
    </r>
  </si>
  <si>
    <t>Aug.29-Sep.28/24</t>
  </si>
  <si>
    <r>
      <rPr>
        <sz val="9"/>
        <rFont val="Arial"/>
        <family val="2"/>
      </rPr>
      <t>Daryl Rivero</t>
    </r>
    <r>
      <rPr>
        <sz val="9"/>
        <color rgb="FFFF0000"/>
        <rFont val="Arial"/>
        <family val="2"/>
      </rPr>
      <t xml:space="preserve"> OR#4760</t>
    </r>
  </si>
  <si>
    <t>Aug.26-Sep.25/24</t>
  </si>
  <si>
    <r>
      <rPr>
        <sz val="8"/>
        <rFont val="Arial"/>
        <family val="2"/>
      </rPr>
      <t>Sandrine Jammeka Mariano</t>
    </r>
    <r>
      <rPr>
        <sz val="8"/>
        <color rgb="FFFF0000"/>
        <rFont val="Arial"/>
        <family val="2"/>
      </rPr>
      <t xml:space="preserve"> OR#4759</t>
    </r>
  </si>
  <si>
    <t>Aug.9-Sep.8/24</t>
  </si>
  <si>
    <r>
      <rPr>
        <sz val="9"/>
        <color theme="1"/>
        <rFont val="Arial"/>
        <family val="2"/>
      </rPr>
      <t xml:space="preserve">Von Largo </t>
    </r>
    <r>
      <rPr>
        <sz val="9"/>
        <color rgb="FFFF0000"/>
        <rFont val="Arial"/>
        <family val="2"/>
      </rPr>
      <t>OR#4761</t>
    </r>
  </si>
  <si>
    <t>Aug.17-Sep.16/24</t>
  </si>
  <si>
    <r>
      <rPr>
        <sz val="9"/>
        <rFont val="Arial"/>
        <family val="2"/>
      </rPr>
      <t xml:space="preserve">Alejandro Delarosa </t>
    </r>
    <r>
      <rPr>
        <sz val="9"/>
        <color rgb="FFFF0000"/>
        <rFont val="Arial"/>
        <family val="2"/>
      </rPr>
      <t>OR#4766</t>
    </r>
  </si>
  <si>
    <t>Aug.15-Sep.14/24</t>
  </si>
  <si>
    <r>
      <rPr>
        <sz val="8"/>
        <color theme="1"/>
        <rFont val="Arial"/>
        <family val="2"/>
      </rPr>
      <t xml:space="preserve">Hannah Faye Delos Reyes </t>
    </r>
    <r>
      <rPr>
        <sz val="8"/>
        <color rgb="FFFF0000"/>
        <rFont val="Arial"/>
        <family val="2"/>
      </rPr>
      <t>OR#4757</t>
    </r>
  </si>
  <si>
    <t>Aug.3-Aug.2/24</t>
  </si>
  <si>
    <r>
      <rPr>
        <sz val="8"/>
        <rFont val="Arial"/>
        <family val="2"/>
      </rPr>
      <t xml:space="preserve">Ron Juliene Dominguino </t>
    </r>
    <r>
      <rPr>
        <sz val="8"/>
        <color rgb="FFFF0000"/>
        <rFont val="Arial"/>
        <family val="2"/>
      </rPr>
      <t>OR#4767</t>
    </r>
  </si>
  <si>
    <t>Aug.1-31/24</t>
  </si>
  <si>
    <r>
      <rPr>
        <sz val="9"/>
        <rFont val="Arial"/>
        <family val="2"/>
      </rPr>
      <t xml:space="preserve">Guilcyn Penetrante </t>
    </r>
    <r>
      <rPr>
        <sz val="9"/>
        <color rgb="FFFF0000"/>
        <rFont val="Arial"/>
        <family val="2"/>
      </rPr>
      <t>OR4775</t>
    </r>
  </si>
  <si>
    <t>Aug.30-Aug.29/24</t>
  </si>
  <si>
    <r>
      <rPr>
        <sz val="9"/>
        <rFont val="Arial"/>
        <family val="2"/>
      </rPr>
      <t xml:space="preserve">Balu Sandhi </t>
    </r>
    <r>
      <rPr>
        <sz val="9"/>
        <color rgb="FFFF0000"/>
        <rFont val="Arial"/>
        <family val="2"/>
      </rPr>
      <t>OR#4777</t>
    </r>
  </si>
  <si>
    <t>Aug.28-Sep.27/24</t>
  </si>
  <si>
    <r>
      <rPr>
        <sz val="9"/>
        <color theme="1"/>
        <rFont val="Arial"/>
        <family val="2"/>
      </rPr>
      <t xml:space="preserve">Juchel Bernales </t>
    </r>
    <r>
      <rPr>
        <sz val="9"/>
        <color rgb="FFFF0000"/>
        <rFont val="Arial"/>
        <family val="2"/>
      </rPr>
      <t>OR#4764</t>
    </r>
  </si>
  <si>
    <t>Aug.27-Sep.26/24</t>
  </si>
  <si>
    <r>
      <rPr>
        <sz val="9"/>
        <rFont val="Arial"/>
        <family val="2"/>
      </rPr>
      <t xml:space="preserve">EJ Millare </t>
    </r>
    <r>
      <rPr>
        <sz val="9"/>
        <color rgb="FFFF0000"/>
        <rFont val="Arial"/>
        <family val="2"/>
      </rPr>
      <t>OR#4769</t>
    </r>
  </si>
  <si>
    <r>
      <rPr>
        <sz val="9"/>
        <rFont val="Arial"/>
        <family val="2"/>
      </rPr>
      <t xml:space="preserve">Sancueza France </t>
    </r>
    <r>
      <rPr>
        <sz val="9"/>
        <color rgb="FFFF0000"/>
        <rFont val="Arial"/>
        <family val="2"/>
      </rPr>
      <t>OR#4772</t>
    </r>
  </si>
  <si>
    <t>Aug.10-Sep9/24</t>
  </si>
  <si>
    <r>
      <rPr>
        <sz val="9"/>
        <rFont val="Arial"/>
        <family val="2"/>
      </rPr>
      <t xml:space="preserve">M.Juselle Escuro </t>
    </r>
    <r>
      <rPr>
        <sz val="9"/>
        <color rgb="FFFF0000"/>
        <rFont val="Arial"/>
        <family val="2"/>
      </rPr>
      <t>OR#4770</t>
    </r>
  </si>
  <si>
    <r>
      <rPr>
        <sz val="9"/>
        <rFont val="Arial"/>
        <family val="2"/>
      </rPr>
      <t xml:space="preserve">Athalia Ayusip </t>
    </r>
    <r>
      <rPr>
        <sz val="9"/>
        <color rgb="FFFF0000"/>
        <rFont val="Arial"/>
        <family val="2"/>
      </rPr>
      <t>OR#4765</t>
    </r>
  </si>
  <si>
    <t>Aug.31-Sep.30/24</t>
  </si>
  <si>
    <r>
      <rPr>
        <sz val="9"/>
        <rFont val="Arial"/>
        <family val="2"/>
      </rPr>
      <t xml:space="preserve">Bob Dumas </t>
    </r>
    <r>
      <rPr>
        <sz val="9"/>
        <color rgb="FFFF0000"/>
        <rFont val="Arial"/>
        <family val="2"/>
      </rPr>
      <t>OR#4773</t>
    </r>
  </si>
  <si>
    <r>
      <rPr>
        <sz val="9"/>
        <rFont val="Arial"/>
        <family val="2"/>
      </rPr>
      <t xml:space="preserve">Mina Anusha Shruthi </t>
    </r>
    <r>
      <rPr>
        <sz val="9"/>
        <color rgb="FFFF0000"/>
        <rFont val="Arial"/>
        <family val="2"/>
      </rPr>
      <t>OR#4768</t>
    </r>
  </si>
  <si>
    <r>
      <rPr>
        <sz val="9"/>
        <color theme="1"/>
        <rFont val="Arial"/>
        <family val="2"/>
      </rPr>
      <t xml:space="preserve">Mireel Fatima Parcarey </t>
    </r>
    <r>
      <rPr>
        <sz val="8"/>
        <color rgb="FFFF0000"/>
        <rFont val="Arial"/>
        <family val="2"/>
      </rPr>
      <t>OR#4758</t>
    </r>
  </si>
  <si>
    <r>
      <rPr>
        <sz val="9"/>
        <rFont val="Arial"/>
        <family val="2"/>
      </rPr>
      <t xml:space="preserve">Jayson Anonuevo </t>
    </r>
    <r>
      <rPr>
        <sz val="9"/>
        <color rgb="FFFF0000"/>
        <rFont val="Arial"/>
        <family val="2"/>
      </rPr>
      <t>OR#4774</t>
    </r>
  </si>
  <si>
    <t>Aug.10-Sep.9/24</t>
  </si>
  <si>
    <t>Aug.21-Sep.20/24</t>
  </si>
  <si>
    <t>Aug.3-Sep.2/24</t>
  </si>
  <si>
    <t>Aug.31-Sep.29/24</t>
  </si>
  <si>
    <t>Aug.2-Sep.1/24</t>
  </si>
  <si>
    <t>Aug.13-Sep.12/24</t>
  </si>
  <si>
    <t>Aug.25-Sep.24/24</t>
  </si>
  <si>
    <t>September '2024</t>
  </si>
  <si>
    <r>
      <rPr>
        <sz val="9"/>
        <rFont val="Arial"/>
        <family val="2"/>
      </rPr>
      <t xml:space="preserve">Lobby Toor </t>
    </r>
    <r>
      <rPr>
        <sz val="9"/>
        <color rgb="FFFF0000"/>
        <rFont val="Arial"/>
        <family val="2"/>
      </rPr>
      <t>OR#4791</t>
    </r>
  </si>
  <si>
    <t>Sep.7-Oct.6/24</t>
  </si>
  <si>
    <r>
      <rPr>
        <sz val="9"/>
        <rFont val="Arial"/>
        <family val="2"/>
      </rPr>
      <t xml:space="preserve">Jade Marmol  </t>
    </r>
    <r>
      <rPr>
        <sz val="9"/>
        <color rgb="FFFF0000"/>
        <rFont val="Arial"/>
        <family val="2"/>
      </rPr>
      <t>OR#4780</t>
    </r>
  </si>
  <si>
    <t>Sep 29-Oct.28/24</t>
  </si>
  <si>
    <r>
      <rPr>
        <sz val="9"/>
        <rFont val="Arial"/>
        <family val="2"/>
      </rPr>
      <t>Daryl Rivero</t>
    </r>
    <r>
      <rPr>
        <sz val="9"/>
        <color rgb="FFFF0000"/>
        <rFont val="Arial"/>
        <family val="2"/>
      </rPr>
      <t xml:space="preserve"> OR#4788</t>
    </r>
  </si>
  <si>
    <t>Sep.26-Oct.25/24</t>
  </si>
  <si>
    <r>
      <rPr>
        <sz val="8"/>
        <rFont val="Arial"/>
        <family val="2"/>
      </rPr>
      <t>Sandrine Jammeka Mariano</t>
    </r>
    <r>
      <rPr>
        <sz val="8"/>
        <color rgb="FFFF0000"/>
        <rFont val="Arial"/>
        <family val="2"/>
      </rPr>
      <t xml:space="preserve"> OR#4778</t>
    </r>
  </si>
  <si>
    <t>Sep.9-Oct.8/24</t>
  </si>
  <si>
    <r>
      <rPr>
        <sz val="9"/>
        <rFont val="Arial"/>
        <family val="2"/>
      </rPr>
      <t xml:space="preserve">Alejandro Delarosa </t>
    </r>
    <r>
      <rPr>
        <sz val="9"/>
        <color rgb="FFFF0000"/>
        <rFont val="Arial"/>
        <family val="2"/>
      </rPr>
      <t>OR#4785</t>
    </r>
  </si>
  <si>
    <t>Sep.15-Oct.14/24</t>
  </si>
  <si>
    <r>
      <rPr>
        <sz val="8"/>
        <color theme="1"/>
        <rFont val="Arial"/>
        <family val="2"/>
      </rPr>
      <t xml:space="preserve">Hannah Faye Delos Reyes </t>
    </r>
    <r>
      <rPr>
        <sz val="8"/>
        <color rgb="FFFF0000"/>
        <rFont val="Arial"/>
        <family val="2"/>
      </rPr>
      <t>OR#4781</t>
    </r>
  </si>
  <si>
    <t>Sep.3-Oct.2/24</t>
  </si>
  <si>
    <r>
      <rPr>
        <sz val="8"/>
        <rFont val="Arial"/>
        <family val="2"/>
      </rPr>
      <t xml:space="preserve">Ron Juliene Dominguino </t>
    </r>
    <r>
      <rPr>
        <sz val="8"/>
        <color rgb="FFFF0000"/>
        <rFont val="Arial"/>
        <family val="2"/>
      </rPr>
      <t>OR#4794</t>
    </r>
  </si>
  <si>
    <t>Sep.1-30/24</t>
  </si>
  <si>
    <r>
      <rPr>
        <sz val="9"/>
        <rFont val="Arial"/>
        <family val="2"/>
      </rPr>
      <t xml:space="preserve">Guilcyn Penetrante </t>
    </r>
    <r>
      <rPr>
        <sz val="9"/>
        <color rgb="FFFF0000"/>
        <rFont val="Arial"/>
        <family val="2"/>
      </rPr>
      <t>OR4789</t>
    </r>
  </si>
  <si>
    <t>Sep.30-Oct.29/24</t>
  </si>
  <si>
    <r>
      <rPr>
        <sz val="9"/>
        <rFont val="Arial"/>
        <family val="2"/>
      </rPr>
      <t xml:space="preserve">Balu Sandhi </t>
    </r>
    <r>
      <rPr>
        <sz val="9"/>
        <color rgb="FFFF0000"/>
        <rFont val="Arial"/>
        <family val="2"/>
      </rPr>
      <t>OR#4795</t>
    </r>
  </si>
  <si>
    <t>Sep.28-Oct..27/24</t>
  </si>
  <si>
    <r>
      <rPr>
        <sz val="9"/>
        <color theme="1"/>
        <rFont val="Arial"/>
        <family val="2"/>
      </rPr>
      <t xml:space="preserve">Juchel Bernales </t>
    </r>
    <r>
      <rPr>
        <sz val="9"/>
        <color rgb="FFFF0000"/>
        <rFont val="Arial"/>
        <family val="2"/>
      </rPr>
      <t>OR#4783</t>
    </r>
  </si>
  <si>
    <t>Sep .27-Aug.26/24</t>
  </si>
  <si>
    <r>
      <rPr>
        <sz val="9"/>
        <rFont val="Arial"/>
        <family val="2"/>
      </rPr>
      <t xml:space="preserve">EJ Millare </t>
    </r>
    <r>
      <rPr>
        <sz val="9"/>
        <color rgb="FFFF0000"/>
        <rFont val="Arial"/>
        <family val="2"/>
      </rPr>
      <t>OR#4793</t>
    </r>
  </si>
  <si>
    <t>Sep.28-Oct.27/24</t>
  </si>
  <si>
    <t>Sep.10-Oct 9/24</t>
  </si>
  <si>
    <r>
      <rPr>
        <sz val="9"/>
        <rFont val="Arial"/>
        <family val="2"/>
      </rPr>
      <t xml:space="preserve">M.Juselle Escuro </t>
    </r>
    <r>
      <rPr>
        <sz val="9"/>
        <color rgb="FFFF0000"/>
        <rFont val="Arial"/>
        <family val="2"/>
      </rPr>
      <t>OR#4787</t>
    </r>
  </si>
  <si>
    <t>Sep.26-Oct,25/24</t>
  </si>
  <si>
    <r>
      <rPr>
        <sz val="9"/>
        <rFont val="Arial"/>
        <family val="2"/>
      </rPr>
      <t xml:space="preserve">Athalia Ayusip </t>
    </r>
    <r>
      <rPr>
        <sz val="9"/>
        <color rgb="FFFF0000"/>
        <rFont val="Arial"/>
        <family val="2"/>
      </rPr>
      <t>OR#4786</t>
    </r>
  </si>
  <si>
    <r>
      <rPr>
        <sz val="9"/>
        <rFont val="Arial"/>
        <family val="2"/>
      </rPr>
      <t xml:space="preserve">Bob Dumas </t>
    </r>
    <r>
      <rPr>
        <sz val="9"/>
        <color rgb="FFFF0000"/>
        <rFont val="Arial"/>
        <family val="2"/>
      </rPr>
      <t>OR#4784</t>
    </r>
  </si>
  <si>
    <r>
      <rPr>
        <sz val="9"/>
        <rFont val="Arial"/>
        <family val="2"/>
      </rPr>
      <t xml:space="preserve">Mina Anusha Shruthi </t>
    </r>
    <r>
      <rPr>
        <sz val="9"/>
        <color rgb="FFFF0000"/>
        <rFont val="Arial"/>
        <family val="2"/>
      </rPr>
      <t>OR#4790</t>
    </r>
  </si>
  <si>
    <r>
      <rPr>
        <sz val="9"/>
        <color theme="1"/>
        <rFont val="Arial"/>
        <family val="2"/>
      </rPr>
      <t xml:space="preserve">Mireel Fatima Parcarey </t>
    </r>
    <r>
      <rPr>
        <sz val="8"/>
        <color rgb="FFFF0000"/>
        <rFont val="Arial"/>
        <family val="2"/>
      </rPr>
      <t>OR#4776</t>
    </r>
  </si>
  <si>
    <t>Sep,1-31/24</t>
  </si>
  <si>
    <r>
      <rPr>
        <sz val="9"/>
        <color theme="1"/>
        <rFont val="Arial"/>
        <family val="2"/>
      </rPr>
      <t xml:space="preserve">Pallavi Ravichandran </t>
    </r>
    <r>
      <rPr>
        <sz val="9"/>
        <color rgb="FFFF0000"/>
        <rFont val="Arial"/>
        <family val="2"/>
      </rPr>
      <t>OR#4782</t>
    </r>
  </si>
  <si>
    <t>Sep.18-Oct.17/24</t>
  </si>
  <si>
    <r>
      <rPr>
        <sz val="9"/>
        <rFont val="Arial"/>
        <family val="2"/>
      </rPr>
      <t xml:space="preserve">Jayson Anonuevo </t>
    </r>
    <r>
      <rPr>
        <sz val="9"/>
        <color rgb="FFFF0000"/>
        <rFont val="Arial"/>
        <family val="2"/>
      </rPr>
      <t>OR#4792</t>
    </r>
  </si>
  <si>
    <t>Sep.31-Oct.30/24</t>
  </si>
  <si>
    <t>Sep.10-Oct.9/24</t>
  </si>
  <si>
    <t>Sep.21-Oct.20/24</t>
  </si>
  <si>
    <t>Jaypee Labitag</t>
  </si>
  <si>
    <t>Sep.27-Oct.28/24</t>
  </si>
  <si>
    <t>Sep.27</t>
  </si>
  <si>
    <t>Sep.31-Oct.29/24</t>
  </si>
  <si>
    <t>Sep.28-Oct27/24</t>
  </si>
  <si>
    <t>Sep.2-Oct.1/24</t>
  </si>
  <si>
    <t>Sep.13-Oct.12/24</t>
  </si>
  <si>
    <t>Sep.25-Oct.24/24</t>
  </si>
  <si>
    <t>October '2024</t>
  </si>
  <si>
    <r>
      <rPr>
        <sz val="9"/>
        <rFont val="Arial"/>
        <family val="2"/>
      </rPr>
      <t xml:space="preserve">Lobby Toor </t>
    </r>
    <r>
      <rPr>
        <sz val="9"/>
        <color rgb="FFFF0000"/>
        <rFont val="Arial"/>
        <family val="2"/>
      </rPr>
      <t>OR#4808</t>
    </r>
  </si>
  <si>
    <t>Oct.7-Nov.6/24</t>
  </si>
  <si>
    <r>
      <rPr>
        <sz val="9"/>
        <rFont val="Arial"/>
        <family val="2"/>
      </rPr>
      <t xml:space="preserve">Jade Marmol  </t>
    </r>
    <r>
      <rPr>
        <sz val="9"/>
        <color rgb="FFFF0000"/>
        <rFont val="Arial"/>
        <family val="2"/>
      </rPr>
      <t>OR#4814</t>
    </r>
  </si>
  <si>
    <t>Oct 29-Nov.28/24</t>
  </si>
  <si>
    <r>
      <rPr>
        <sz val="9"/>
        <rFont val="Arial"/>
        <family val="2"/>
      </rPr>
      <t>Daryl Rivero</t>
    </r>
    <r>
      <rPr>
        <sz val="9"/>
        <color rgb="FFFF0000"/>
        <rFont val="Arial"/>
        <family val="2"/>
      </rPr>
      <t xml:space="preserve"> OR#4811</t>
    </r>
  </si>
  <si>
    <t>Oct.26-Nov.25/24</t>
  </si>
  <si>
    <r>
      <rPr>
        <sz val="8"/>
        <rFont val="Arial"/>
        <family val="2"/>
      </rPr>
      <t>Sandrine Jammeka Mariano</t>
    </r>
    <r>
      <rPr>
        <sz val="8"/>
        <color rgb="FFFF0000"/>
        <rFont val="Arial"/>
        <family val="2"/>
      </rPr>
      <t xml:space="preserve"> OR#4799</t>
    </r>
  </si>
  <si>
    <t>Oct.9-Nov.8/24</t>
  </si>
  <si>
    <r>
      <rPr>
        <sz val="9"/>
        <rFont val="Arial"/>
        <family val="2"/>
      </rPr>
      <t xml:space="preserve">Alejandro Delarosa </t>
    </r>
    <r>
      <rPr>
        <sz val="9"/>
        <color rgb="FFFF0000"/>
        <rFont val="Arial"/>
        <family val="2"/>
      </rPr>
      <t>OR#4801</t>
    </r>
  </si>
  <si>
    <t>Oct.15-Nov.14/24</t>
  </si>
  <si>
    <r>
      <rPr>
        <sz val="8"/>
        <color theme="1"/>
        <rFont val="Arial"/>
        <family val="2"/>
      </rPr>
      <t xml:space="preserve">Hannah Faye Delos Reyes </t>
    </r>
    <r>
      <rPr>
        <sz val="8"/>
        <color rgb="FFFF0000"/>
        <rFont val="Arial"/>
        <family val="2"/>
      </rPr>
      <t>OR#4798</t>
    </r>
  </si>
  <si>
    <t>Oct.3-Nov.2/24</t>
  </si>
  <si>
    <r>
      <rPr>
        <sz val="8"/>
        <rFont val="Arial"/>
        <family val="2"/>
      </rPr>
      <t xml:space="preserve">Ron Juliene Dominguino </t>
    </r>
    <r>
      <rPr>
        <sz val="8"/>
        <color rgb="FFFF0000"/>
        <rFont val="Arial"/>
        <family val="2"/>
      </rPr>
      <t>OR#4813</t>
    </r>
  </si>
  <si>
    <t>Oct.1-31/24</t>
  </si>
  <si>
    <r>
      <rPr>
        <sz val="9"/>
        <rFont val="Arial"/>
        <family val="2"/>
      </rPr>
      <t xml:space="preserve">Guilcyn Penetrante </t>
    </r>
    <r>
      <rPr>
        <sz val="9"/>
        <color rgb="FFFF0000"/>
        <rFont val="Arial"/>
        <family val="2"/>
      </rPr>
      <t>OR4800</t>
    </r>
  </si>
  <si>
    <t>Oct.30-Nov.29/24</t>
  </si>
  <si>
    <r>
      <rPr>
        <sz val="9"/>
        <rFont val="Arial"/>
        <family val="2"/>
      </rPr>
      <t xml:space="preserve">Balu Sandhi </t>
    </r>
    <r>
      <rPr>
        <sz val="9"/>
        <color rgb="FFFF0000"/>
        <rFont val="Arial"/>
        <family val="2"/>
      </rPr>
      <t>OR#4809</t>
    </r>
  </si>
  <si>
    <t>Oct.28-Nov.27/24</t>
  </si>
  <si>
    <r>
      <rPr>
        <sz val="9"/>
        <color theme="1"/>
        <rFont val="Arial"/>
        <family val="2"/>
      </rPr>
      <t xml:space="preserve">Juchel Bernales </t>
    </r>
    <r>
      <rPr>
        <sz val="9"/>
        <color rgb="FFFF0000"/>
        <rFont val="Arial"/>
        <family val="2"/>
      </rPr>
      <t>OR#4817</t>
    </r>
  </si>
  <si>
    <t>Oct.27-Nov.26/24</t>
  </si>
  <si>
    <r>
      <rPr>
        <sz val="9"/>
        <rFont val="Arial"/>
        <family val="2"/>
      </rPr>
      <t xml:space="preserve">EJ Millare </t>
    </r>
    <r>
      <rPr>
        <sz val="9"/>
        <color rgb="FFFF0000"/>
        <rFont val="Arial"/>
        <family val="2"/>
      </rPr>
      <t>OR#4806</t>
    </r>
  </si>
  <si>
    <r>
      <rPr>
        <sz val="9"/>
        <rFont val="Arial"/>
        <family val="2"/>
      </rPr>
      <t>France Sacueza</t>
    </r>
    <r>
      <rPr>
        <sz val="9"/>
        <color rgb="FFFF0000"/>
        <rFont val="Arial"/>
        <family val="2"/>
      </rPr>
      <t xml:space="preserve"> OR#4805</t>
    </r>
  </si>
  <si>
    <r>
      <rPr>
        <sz val="9"/>
        <rFont val="Arial"/>
        <family val="2"/>
      </rPr>
      <t xml:space="preserve">Sheena Mae Guianan </t>
    </r>
    <r>
      <rPr>
        <sz val="9"/>
        <color rgb="FFFF0000"/>
        <rFont val="Arial"/>
        <family val="2"/>
      </rPr>
      <t>OR#4797</t>
    </r>
  </si>
  <si>
    <t>Oct.9/24</t>
  </si>
  <si>
    <r>
      <rPr>
        <sz val="9"/>
        <rFont val="Arial"/>
        <family val="2"/>
      </rPr>
      <t xml:space="preserve">M.Juselle Escuro </t>
    </r>
    <r>
      <rPr>
        <sz val="9"/>
        <color rgb="FFFF0000"/>
        <rFont val="Arial"/>
        <family val="2"/>
      </rPr>
      <t>OR#4813</t>
    </r>
  </si>
  <si>
    <r>
      <rPr>
        <sz val="9"/>
        <rFont val="Arial"/>
        <family val="2"/>
      </rPr>
      <t xml:space="preserve">Athalia Ayusip </t>
    </r>
    <r>
      <rPr>
        <sz val="9"/>
        <color rgb="FFFF0000"/>
        <rFont val="Arial"/>
        <family val="2"/>
      </rPr>
      <t>OR#4804</t>
    </r>
  </si>
  <si>
    <r>
      <rPr>
        <sz val="9"/>
        <rFont val="Arial"/>
        <family val="2"/>
      </rPr>
      <t xml:space="preserve">Bob Dumas </t>
    </r>
    <r>
      <rPr>
        <sz val="9"/>
        <color rgb="FFFF0000"/>
        <rFont val="Arial"/>
        <family val="2"/>
      </rPr>
      <t>OR#4807</t>
    </r>
  </si>
  <si>
    <t>Oct.31-Nov.30/24</t>
  </si>
  <si>
    <r>
      <rPr>
        <sz val="9"/>
        <rFont val="Arial"/>
        <family val="2"/>
      </rPr>
      <t xml:space="preserve">Mina Anusha Shruthi </t>
    </r>
    <r>
      <rPr>
        <sz val="9"/>
        <color rgb="FFFF0000"/>
        <rFont val="Arial"/>
        <family val="2"/>
      </rPr>
      <t>OR#4802</t>
    </r>
  </si>
  <si>
    <r>
      <rPr>
        <sz val="9"/>
        <color theme="1"/>
        <rFont val="Arial"/>
        <family val="2"/>
      </rPr>
      <t xml:space="preserve">Mireel Fatima Parcarey </t>
    </r>
    <r>
      <rPr>
        <sz val="8"/>
        <color rgb="FFFF0000"/>
        <rFont val="Arial"/>
        <family val="2"/>
      </rPr>
      <t>OR#4796</t>
    </r>
  </si>
  <si>
    <r>
      <rPr>
        <sz val="9"/>
        <color theme="1"/>
        <rFont val="Arial"/>
        <family val="2"/>
      </rPr>
      <t xml:space="preserve">Pallavi Ravichandran </t>
    </r>
    <r>
      <rPr>
        <sz val="9"/>
        <color rgb="FFFF0000"/>
        <rFont val="Arial"/>
        <family val="2"/>
      </rPr>
      <t>OR#4803</t>
    </r>
  </si>
  <si>
    <t>Oct.18-Nov.17/24</t>
  </si>
  <si>
    <r>
      <rPr>
        <sz val="9"/>
        <rFont val="Arial"/>
        <family val="2"/>
      </rPr>
      <t xml:space="preserve">Jayson Anonuevo </t>
    </r>
    <r>
      <rPr>
        <sz val="9"/>
        <color rgb="FFFF0000"/>
        <rFont val="Arial"/>
        <family val="2"/>
      </rPr>
      <t>OR#4810</t>
    </r>
  </si>
  <si>
    <t>Oct.10-Nov.9/24</t>
  </si>
  <si>
    <t>Oct.21-Nov.20/24</t>
  </si>
  <si>
    <t>Oct.27-Nov.28/24</t>
  </si>
  <si>
    <t>Sep.27/24</t>
  </si>
  <si>
    <t>Oct.31-Nov.29/24</t>
  </si>
  <si>
    <t>Oct.2-Nov.1/24</t>
  </si>
  <si>
    <t>Oct.13-Nov.12/24</t>
  </si>
  <si>
    <t>Oct.25-Nov.24/24</t>
  </si>
  <si>
    <t>November '2024</t>
  </si>
  <si>
    <r>
      <rPr>
        <sz val="9"/>
        <rFont val="Arial"/>
        <family val="2"/>
      </rPr>
      <t xml:space="preserve">Lobby Toor </t>
    </r>
    <r>
      <rPr>
        <sz val="9"/>
        <color rgb="FFFF0000"/>
        <rFont val="Arial"/>
        <family val="2"/>
      </rPr>
      <t>OR#4830</t>
    </r>
  </si>
  <si>
    <t>Nov.7-Dec.6/24</t>
  </si>
  <si>
    <r>
      <rPr>
        <sz val="9"/>
        <rFont val="Arial"/>
        <family val="2"/>
      </rPr>
      <t xml:space="preserve">Jade Marmol  </t>
    </r>
    <r>
      <rPr>
        <sz val="9"/>
        <color rgb="FFFF0000"/>
        <rFont val="Arial"/>
        <family val="2"/>
      </rPr>
      <t>OR#4823</t>
    </r>
  </si>
  <si>
    <t>Nov. 29-Dec.28/24</t>
  </si>
  <si>
    <r>
      <rPr>
        <sz val="9"/>
        <rFont val="Arial"/>
        <family val="2"/>
      </rPr>
      <t>Daryl Rivero</t>
    </r>
    <r>
      <rPr>
        <sz val="9"/>
        <color rgb="FFFF0000"/>
        <rFont val="Arial"/>
        <family val="2"/>
      </rPr>
      <t xml:space="preserve"> OR#4822</t>
    </r>
  </si>
  <si>
    <t>Nov.26-Dec.25/24</t>
  </si>
  <si>
    <r>
      <rPr>
        <sz val="8"/>
        <rFont val="Arial"/>
        <family val="2"/>
      </rPr>
      <t>Sandrine Jammeka Mariano</t>
    </r>
    <r>
      <rPr>
        <sz val="8"/>
        <color rgb="FFFF0000"/>
        <rFont val="Arial"/>
        <family val="2"/>
      </rPr>
      <t xml:space="preserve"> OR#4818</t>
    </r>
  </si>
  <si>
    <t>Nov.9-Dec.8/24</t>
  </si>
  <si>
    <r>
      <rPr>
        <sz val="9"/>
        <rFont val="Arial"/>
        <family val="2"/>
      </rPr>
      <t xml:space="preserve">Alejandro Delarosa </t>
    </r>
    <r>
      <rPr>
        <sz val="9"/>
        <color rgb="FFFF0000"/>
        <rFont val="Arial"/>
        <family val="2"/>
      </rPr>
      <t>OR#4828</t>
    </r>
  </si>
  <si>
    <t>Nov.15-Dec.14/24</t>
  </si>
  <si>
    <r>
      <rPr>
        <sz val="8"/>
        <color theme="1"/>
        <rFont val="Arial"/>
        <family val="2"/>
      </rPr>
      <t xml:space="preserve">Hannah Faye Delos Reyes </t>
    </r>
    <r>
      <rPr>
        <sz val="8"/>
        <color rgb="FFFF0000"/>
        <rFont val="Arial"/>
        <family val="2"/>
      </rPr>
      <t>OR#4816</t>
    </r>
  </si>
  <si>
    <t>Nov.3-Dec.2/24</t>
  </si>
  <si>
    <r>
      <rPr>
        <sz val="8"/>
        <rFont val="Arial"/>
        <family val="2"/>
      </rPr>
      <t xml:space="preserve">Ron Juliene Dominguino </t>
    </r>
    <r>
      <rPr>
        <sz val="8"/>
        <color rgb="FFFF0000"/>
        <rFont val="Arial"/>
        <family val="2"/>
      </rPr>
      <t>OR#4824</t>
    </r>
  </si>
  <si>
    <t>Nov.1-30/24</t>
  </si>
  <si>
    <r>
      <rPr>
        <sz val="9"/>
        <rFont val="Arial"/>
        <family val="2"/>
      </rPr>
      <t xml:space="preserve">Guilcyn Penetrante </t>
    </r>
    <r>
      <rPr>
        <sz val="9"/>
        <color rgb="FFFF0000"/>
        <rFont val="Arial"/>
        <family val="2"/>
      </rPr>
      <t>OR4825</t>
    </r>
  </si>
  <si>
    <t>Nov.30-Dec.29/24</t>
  </si>
  <si>
    <r>
      <rPr>
        <sz val="9"/>
        <rFont val="Arial"/>
        <family val="2"/>
      </rPr>
      <t xml:space="preserve">Balu Sandhi </t>
    </r>
    <r>
      <rPr>
        <sz val="9"/>
        <color rgb="FFFF0000"/>
        <rFont val="Arial"/>
        <family val="2"/>
      </rPr>
      <t>OR#4832</t>
    </r>
  </si>
  <si>
    <t>Nov..28-Dec.27/24</t>
  </si>
  <si>
    <r>
      <rPr>
        <sz val="9"/>
        <rFont val="Arial"/>
        <family val="2"/>
      </rPr>
      <t xml:space="preserve">EJ Millare </t>
    </r>
    <r>
      <rPr>
        <sz val="9"/>
        <color rgb="FFFF0000"/>
        <rFont val="Arial"/>
        <family val="2"/>
      </rPr>
      <t>OR#4820</t>
    </r>
  </si>
  <si>
    <t>Nov.28-Dec.27/24</t>
  </si>
  <si>
    <r>
      <rPr>
        <sz val="9"/>
        <rFont val="Arial"/>
        <family val="2"/>
      </rPr>
      <t>France Sacueza</t>
    </r>
    <r>
      <rPr>
        <sz val="9"/>
        <color rgb="FFFF0000"/>
        <rFont val="Arial"/>
        <family val="2"/>
      </rPr>
      <t xml:space="preserve"> OR#4831</t>
    </r>
  </si>
  <si>
    <r>
      <rPr>
        <sz val="9"/>
        <rFont val="Arial"/>
        <family val="2"/>
      </rPr>
      <t xml:space="preserve">Sheena Mae Guianan </t>
    </r>
    <r>
      <rPr>
        <sz val="9"/>
        <color rgb="FFFF0000"/>
        <rFont val="Arial"/>
        <family val="2"/>
      </rPr>
      <t>OR#4819</t>
    </r>
  </si>
  <si>
    <r>
      <rPr>
        <sz val="9"/>
        <rFont val="Arial"/>
        <family val="2"/>
      </rPr>
      <t xml:space="preserve">Bob Dumas </t>
    </r>
    <r>
      <rPr>
        <sz val="9"/>
        <color rgb="FFFF0000"/>
        <rFont val="Arial"/>
        <family val="2"/>
      </rPr>
      <t>OR#4821</t>
    </r>
  </si>
  <si>
    <t>Nov.31-Dec.30/24</t>
  </si>
  <si>
    <r>
      <rPr>
        <sz val="9"/>
        <rFont val="Arial"/>
        <family val="2"/>
      </rPr>
      <t xml:space="preserve">Mina Anusha Shruthi </t>
    </r>
    <r>
      <rPr>
        <sz val="9"/>
        <color rgb="FFFF0000"/>
        <rFont val="Arial"/>
        <family val="2"/>
      </rPr>
      <t>OR#4827</t>
    </r>
  </si>
  <si>
    <r>
      <rPr>
        <sz val="9"/>
        <color theme="1"/>
        <rFont val="Arial"/>
        <family val="2"/>
      </rPr>
      <t xml:space="preserve">Mireel Fatima Parcarey </t>
    </r>
    <r>
      <rPr>
        <sz val="8"/>
        <color rgb="FFFF0000"/>
        <rFont val="Arial"/>
        <family val="2"/>
      </rPr>
      <t>OR#4815</t>
    </r>
  </si>
  <si>
    <t>Nov.1-31/24</t>
  </si>
  <si>
    <r>
      <rPr>
        <sz val="9"/>
        <color theme="1"/>
        <rFont val="Arial"/>
        <family val="2"/>
      </rPr>
      <t xml:space="preserve">Pallavi Ravichandran </t>
    </r>
    <r>
      <rPr>
        <sz val="9"/>
        <color rgb="FFFF0000"/>
        <rFont val="Arial"/>
        <family val="2"/>
      </rPr>
      <t>OR#4826</t>
    </r>
  </si>
  <si>
    <t>Nov.18-Dec.17/24</t>
  </si>
  <si>
    <r>
      <rPr>
        <sz val="9"/>
        <rFont val="Arial"/>
        <family val="2"/>
      </rPr>
      <t xml:space="preserve">Jayson Anonuevo </t>
    </r>
    <r>
      <rPr>
        <sz val="9"/>
        <color rgb="FFFF0000"/>
        <rFont val="Arial"/>
        <family val="2"/>
      </rPr>
      <t>OR#4829</t>
    </r>
  </si>
  <si>
    <t>Nov.10-Dec.9/24</t>
  </si>
  <si>
    <t>Nov.21-Dec.20/24</t>
  </si>
  <si>
    <t>Nov.27-Dec.28/24</t>
  </si>
  <si>
    <t>Nov.31-Dec.29/24</t>
  </si>
  <si>
    <t>Nov.2-Dec.1/24</t>
  </si>
  <si>
    <t>Nov.13-Dec.12/24</t>
  </si>
  <si>
    <t>Nov.25-Dec.24/24</t>
  </si>
  <si>
    <t>December '2024</t>
  </si>
  <si>
    <t>Dec.7-Jan.6/25</t>
  </si>
  <si>
    <t>Dec. 29-Jan.28/25</t>
  </si>
  <si>
    <r>
      <rPr>
        <sz val="9"/>
        <rFont val="Arial"/>
        <family val="2"/>
      </rPr>
      <t xml:space="preserve">Daryl Rivero </t>
    </r>
    <r>
      <rPr>
        <sz val="9"/>
        <color rgb="FFFF0000"/>
        <rFont val="Arial"/>
        <family val="2"/>
      </rPr>
      <t>OR#4842</t>
    </r>
  </si>
  <si>
    <t>Dec.26-Jan.25/25</t>
  </si>
  <si>
    <r>
      <rPr>
        <sz val="8"/>
        <rFont val="Arial"/>
        <family val="2"/>
      </rPr>
      <t>Sandrine Jammeka Mariano</t>
    </r>
    <r>
      <rPr>
        <sz val="8"/>
        <color rgb="FFFF0000"/>
        <rFont val="Arial"/>
        <family val="2"/>
      </rPr>
      <t xml:space="preserve"> OR#4834</t>
    </r>
  </si>
  <si>
    <t>Dec.9-Jan.8/25</t>
  </si>
  <si>
    <t>Dec.15-Jan.14/25</t>
  </si>
  <si>
    <r>
      <rPr>
        <sz val="8"/>
        <color theme="1"/>
        <rFont val="Arial"/>
        <family val="2"/>
      </rPr>
      <t xml:space="preserve">Hannah Faye Delos Reyes </t>
    </r>
    <r>
      <rPr>
        <sz val="8"/>
        <color rgb="FFFF0000"/>
        <rFont val="Arial"/>
        <family val="2"/>
      </rPr>
      <t>OR#4833</t>
    </r>
  </si>
  <si>
    <t>Dec.3-Jan.2/25</t>
  </si>
  <si>
    <t>Dec.1-31/25</t>
  </si>
  <si>
    <t>Dec.30-Jan.29/25</t>
  </si>
  <si>
    <r>
      <rPr>
        <sz val="9"/>
        <rFont val="Arial"/>
        <family val="2"/>
      </rPr>
      <t xml:space="preserve">Balu Sandhi </t>
    </r>
    <r>
      <rPr>
        <sz val="9"/>
        <color rgb="FFFF0000"/>
        <rFont val="Arial"/>
        <family val="2"/>
      </rPr>
      <t>OR#4845</t>
    </r>
  </si>
  <si>
    <t>Dec.28-Jan.27/25</t>
  </si>
  <si>
    <r>
      <rPr>
        <sz val="9"/>
        <rFont val="Arial"/>
        <family val="2"/>
      </rPr>
      <t xml:space="preserve">Joan Rejuso </t>
    </r>
    <r>
      <rPr>
        <sz val="9"/>
        <color rgb="FFFF0000"/>
        <rFont val="Arial"/>
        <family val="2"/>
      </rPr>
      <t>OR#4838</t>
    </r>
  </si>
  <si>
    <t>Dec.15/24</t>
  </si>
  <si>
    <r>
      <rPr>
        <sz val="9"/>
        <rFont val="Arial"/>
        <family val="2"/>
      </rPr>
      <t xml:space="preserve">EJ Millare </t>
    </r>
    <r>
      <rPr>
        <sz val="9"/>
        <color rgb="FFFF0000"/>
        <rFont val="Arial"/>
        <family val="2"/>
      </rPr>
      <t>OR#4843</t>
    </r>
  </si>
  <si>
    <r>
      <rPr>
        <sz val="9"/>
        <rFont val="Arial"/>
        <family val="2"/>
      </rPr>
      <t>France Sacueza</t>
    </r>
    <r>
      <rPr>
        <sz val="9"/>
        <color rgb="FFFF0000"/>
        <rFont val="Arial"/>
        <family val="2"/>
      </rPr>
      <t xml:space="preserve"> OR#4840</t>
    </r>
  </si>
  <si>
    <t>Dec.9-Jan.8/24</t>
  </si>
  <si>
    <r>
      <rPr>
        <sz val="9"/>
        <rFont val="Arial"/>
        <family val="2"/>
      </rPr>
      <t xml:space="preserve">Sheena Mae Guianan </t>
    </r>
    <r>
      <rPr>
        <sz val="9"/>
        <color rgb="FFFF0000"/>
        <rFont val="Arial"/>
        <family val="2"/>
      </rPr>
      <t>OR#4839</t>
    </r>
  </si>
  <si>
    <r>
      <rPr>
        <sz val="9"/>
        <rFont val="Arial"/>
        <family val="2"/>
      </rPr>
      <t xml:space="preserve">Gupreet Sigh </t>
    </r>
    <r>
      <rPr>
        <sz val="9"/>
        <color rgb="FFFF0000"/>
        <rFont val="Arial"/>
        <family val="2"/>
      </rPr>
      <t>OR#4836</t>
    </r>
  </si>
  <si>
    <t>Dec.4-Jan.3/25</t>
  </si>
  <si>
    <t>Dec.4/24</t>
  </si>
  <si>
    <r>
      <rPr>
        <sz val="9"/>
        <rFont val="Arial"/>
        <family val="2"/>
      </rPr>
      <t xml:space="preserve">John Leo Ramirez </t>
    </r>
    <r>
      <rPr>
        <sz val="9"/>
        <color rgb="FFFF0000"/>
        <rFont val="Arial"/>
        <family val="2"/>
      </rPr>
      <t>OR#4835</t>
    </r>
  </si>
  <si>
    <t>Dec.2/24</t>
  </si>
  <si>
    <t>Dec.31-Jan.30/25</t>
  </si>
  <si>
    <r>
      <rPr>
        <sz val="9"/>
        <rFont val="Arial"/>
        <family val="2"/>
      </rPr>
      <t xml:space="preserve">Mina Anusha Shruthi </t>
    </r>
    <r>
      <rPr>
        <sz val="9"/>
        <color rgb="FFFF0000"/>
        <rFont val="Arial"/>
        <family val="2"/>
      </rPr>
      <t>OR#4844</t>
    </r>
  </si>
  <si>
    <r>
      <rPr>
        <sz val="9"/>
        <color theme="1"/>
        <rFont val="Arial"/>
        <family val="2"/>
      </rPr>
      <t xml:space="preserve">Mireel Fatima Parcarey </t>
    </r>
    <r>
      <rPr>
        <sz val="8"/>
        <color rgb="FFFF0000"/>
        <rFont val="Arial"/>
        <family val="2"/>
      </rPr>
      <t>OR#4837</t>
    </r>
  </si>
  <si>
    <t>Dec.1-31/24</t>
  </si>
  <si>
    <r>
      <rPr>
        <sz val="9"/>
        <color theme="1"/>
        <rFont val="Arial"/>
        <family val="2"/>
      </rPr>
      <t xml:space="preserve">Pallavi Ravichandran </t>
    </r>
    <r>
      <rPr>
        <sz val="9"/>
        <color rgb="FFFF0000"/>
        <rFont val="Arial"/>
        <family val="2"/>
      </rPr>
      <t>OR#4841</t>
    </r>
  </si>
  <si>
    <t>Dec.18-Jan.17/25</t>
  </si>
  <si>
    <t>Dec.10-Jan.9/25</t>
  </si>
  <si>
    <t>Dec.21-Jan.20/25</t>
  </si>
  <si>
    <t>Dec.27-Jan.28/25</t>
  </si>
  <si>
    <t>Dec.31-Jan.29/25</t>
  </si>
  <si>
    <t>Dec.2-Jan.1/25</t>
  </si>
  <si>
    <t>Dec.13-Jan.12/25</t>
  </si>
  <si>
    <t>Dec.25-Jan.24/25</t>
  </si>
  <si>
    <t>OR/Supplier</t>
  </si>
  <si>
    <t>Boarding House Expenses</t>
  </si>
  <si>
    <t>Main House Expenses</t>
  </si>
  <si>
    <t>Front Apartment Expenses</t>
  </si>
  <si>
    <t>Back Apartment Expenses</t>
  </si>
  <si>
    <t>Other Expenses / Personal</t>
  </si>
  <si>
    <t>##</t>
  </si>
  <si>
    <t>Total Expenses</t>
  </si>
  <si>
    <t>Other Expenses</t>
  </si>
  <si>
    <t>2024'</t>
  </si>
  <si>
    <t>January</t>
  </si>
  <si>
    <t>Legazpi Water Distric (dec.23)</t>
  </si>
  <si>
    <t>SMR 4th quarter attorny.Lawenko</t>
  </si>
  <si>
    <t>1   Supplies</t>
  </si>
  <si>
    <t>BIR Registration 2024</t>
  </si>
  <si>
    <t>2   Taxes &amp; Licences</t>
  </si>
  <si>
    <t>Max</t>
  </si>
  <si>
    <t>3   Janitorial &amp; Messengerial Services</t>
  </si>
  <si>
    <t>LCC Supermarket</t>
  </si>
  <si>
    <t>4   Depreciation</t>
  </si>
  <si>
    <t>Triple H hardware (b3b)</t>
  </si>
  <si>
    <t>5   Professional Fees</t>
  </si>
  <si>
    <t>CTC (Fe/Michelle) 2024</t>
  </si>
  <si>
    <t>6   Salaries: Michelle</t>
  </si>
  <si>
    <t>Buseness Permit 2024</t>
  </si>
  <si>
    <t>6a  Phil Health</t>
  </si>
  <si>
    <t>Saverite (b3b)</t>
  </si>
  <si>
    <t>6b  SSS</t>
  </si>
  <si>
    <t>Aboloy tyo fermin</t>
  </si>
  <si>
    <t>6c  Alowances</t>
  </si>
  <si>
    <t>Labor (jan.3-5) Randy Millete</t>
  </si>
  <si>
    <t>7   Comm'n, Light &amp; Water</t>
  </si>
  <si>
    <t>Allowance by Luz (dec.17-Jan.16)</t>
  </si>
  <si>
    <t>6c</t>
  </si>
  <si>
    <t>8   Repairs &amp; Maintenance</t>
  </si>
  <si>
    <t>Metro Guisano (coffee maker)</t>
  </si>
  <si>
    <t>9   Fuel &amp; Oil</t>
  </si>
  <si>
    <t>Hong Enterprises</t>
  </si>
  <si>
    <t>10  Others</t>
  </si>
  <si>
    <t>Legazpi Champion Auto Supply</t>
  </si>
  <si>
    <t>Legazpi Grace Home</t>
  </si>
  <si>
    <t>Internit Globe</t>
  </si>
  <si>
    <t>Motolite Calibration</t>
  </si>
  <si>
    <t>Genset labor (Lance Millete)</t>
  </si>
  <si>
    <t>Labor (jan.7-12) Randy Millete</t>
  </si>
  <si>
    <t>Fuel Hub</t>
  </si>
  <si>
    <t>BIR ANNUAL 2023</t>
  </si>
  <si>
    <t>SSS (Michelle/Peter)Dec.23</t>
  </si>
  <si>
    <t>6b</t>
  </si>
  <si>
    <t xml:space="preserve">Metro Legazpi </t>
  </si>
  <si>
    <t>Aqualife</t>
  </si>
  <si>
    <t>Seadweller Corp.</t>
  </si>
  <si>
    <t>Wreath (Oscar Oida)</t>
  </si>
  <si>
    <t>Excellece Appliance</t>
  </si>
  <si>
    <t>Fuel Hub (genset)</t>
  </si>
  <si>
    <t>Electricbill (January 2024)</t>
  </si>
  <si>
    <t>Salary (Jan 1-31) Peter Cuario</t>
  </si>
  <si>
    <t>Salary (Jan 1-31) Michelle Cuario</t>
  </si>
  <si>
    <t>Total</t>
  </si>
  <si>
    <t>February</t>
  </si>
  <si>
    <t>Allowance by Luz (jan.17-feb.16)</t>
  </si>
  <si>
    <t>This month</t>
  </si>
  <si>
    <t>Wreath (fe's sister</t>
  </si>
  <si>
    <t>Legazpi Water Distric (jan.24)</t>
  </si>
  <si>
    <t>Globe Enternit</t>
  </si>
  <si>
    <t>SSS (Michelle/Peter)Jan.23</t>
  </si>
  <si>
    <t>Alta Fuel</t>
  </si>
  <si>
    <t>Peter (Abuloy)</t>
  </si>
  <si>
    <t>Wreath (Peter Cuario)</t>
  </si>
  <si>
    <t>JRC Vulcanizing Shop</t>
  </si>
  <si>
    <t>Salary (Feb.1-29) Peter Cuario</t>
  </si>
  <si>
    <t>Salary (Feb. 1-31) Michelle Cuario</t>
  </si>
  <si>
    <t>March</t>
  </si>
  <si>
    <t>Electricbill (feb.24")</t>
  </si>
  <si>
    <t>Genset Repair (Lance Millete)</t>
  </si>
  <si>
    <t>Allowance by Luz Galang (feb.17-Mar.16)</t>
  </si>
  <si>
    <t>Gonzaga Hardware Mh pump)</t>
  </si>
  <si>
    <t>Randy Millete Labor</t>
  </si>
  <si>
    <t>SSS (Michelle )Feb.24"</t>
  </si>
  <si>
    <t>Philhealth (apr.May.June)Michelle</t>
  </si>
  <si>
    <t>6a</t>
  </si>
  <si>
    <t>Grace Home (3a)</t>
  </si>
  <si>
    <t>Legazpi City Tiles (3A)</t>
  </si>
  <si>
    <t>Legazpi Water Distric (feb.24)"</t>
  </si>
  <si>
    <t>Happy Electrical Store (new genset)</t>
  </si>
  <si>
    <t>Prenzelle Trading (new genset)</t>
  </si>
  <si>
    <t>Rolando Millete (labor) new genset</t>
  </si>
  <si>
    <t>Ricuta Cheese Food</t>
  </si>
  <si>
    <t>Aqualife Hobby Shop</t>
  </si>
  <si>
    <t>Standard Gas Corporation (vios gas)</t>
  </si>
  <si>
    <t xml:space="preserve">Angena Trading </t>
  </si>
  <si>
    <t>Guillermo Millete labor (mar.11-16)3a</t>
  </si>
  <si>
    <t>Enternit Globe</t>
  </si>
  <si>
    <t>Prinzelle Trading (genset new)</t>
  </si>
  <si>
    <t>JCL All PowerVenture (new genset down payment)</t>
  </si>
  <si>
    <t>Triple H hardware (3a)</t>
  </si>
  <si>
    <t>Foursome Trading(new genset gaz)</t>
  </si>
  <si>
    <t>Guillermo Millete labor (mar.18-23)3a</t>
  </si>
  <si>
    <t>Randy Millete Labor (mar..18-23) genset</t>
  </si>
  <si>
    <t>Rolando Millete (labor mar.18-23)genset connection</t>
  </si>
  <si>
    <t>JCL All PowerVenture (new genset full  payment)</t>
  </si>
  <si>
    <t>Legazpi Sony Marketing (new genset)</t>
  </si>
  <si>
    <t>Bossing Enterprices new genset</t>
  </si>
  <si>
    <t xml:space="preserve">Randy Millete labor (mar.18-23)genset </t>
  </si>
  <si>
    <t>Rolando Millete labor (mar.18-23)genset connection</t>
  </si>
  <si>
    <t>Al-Sur Trading (new genset)</t>
  </si>
  <si>
    <t>Saverite (new genset)</t>
  </si>
  <si>
    <t>Saverite (Kubo material)</t>
  </si>
  <si>
    <t>NOTE:</t>
  </si>
  <si>
    <t>Electricbill (March 2024")</t>
  </si>
  <si>
    <t>18-Mar-24 (BPI Widraw    (Fe)</t>
  </si>
  <si>
    <t>Electricbill 3a vacant unit</t>
  </si>
  <si>
    <t>22_Mar-24 (payment by Luz Galang</t>
  </si>
  <si>
    <t>Guillermo Millete labor (mar.25-26)genset house</t>
  </si>
  <si>
    <t>Tulay</t>
  </si>
  <si>
    <t>Guillermo Millete labor (mar.25-26)kubo</t>
  </si>
  <si>
    <t>Randy Millete labor (mar.25-26)genset</t>
  </si>
  <si>
    <t>Randy Millet labor (mar.27-28)kubo</t>
  </si>
  <si>
    <t>Rolando Millete labor (mar.25-28)genset con.</t>
  </si>
  <si>
    <t>Salary (mar.1-31) Michelle Cuario</t>
  </si>
  <si>
    <t xml:space="preserve">        TOTAL</t>
  </si>
  <si>
    <t>APRIL</t>
  </si>
  <si>
    <t>LB Alta Fuel Co (vios gaz)</t>
  </si>
  <si>
    <t>Registration vios car 2024</t>
  </si>
  <si>
    <t>Aircare Emission testing center (vios)</t>
  </si>
  <si>
    <t>Triple H Hardware (kubo)</t>
  </si>
  <si>
    <t>Happy Electrical Store (emergency light)</t>
  </si>
  <si>
    <t>April</t>
  </si>
  <si>
    <t>FSMR Report (Engr.Llana)</t>
  </si>
  <si>
    <t>BFP Tax Dec</t>
  </si>
  <si>
    <t>Prinzelle Trading ( kubo)</t>
  </si>
  <si>
    <t>Legazpi Water Distric (Mar.24)</t>
  </si>
  <si>
    <t>Happy Electrical Store (bh)</t>
  </si>
  <si>
    <t>Payroll (Apr.1-5) Kubo (Guillermo Millete)</t>
  </si>
  <si>
    <t>Payroll (Apr.6) genset (Guillermo Millete)</t>
  </si>
  <si>
    <t>Payroll (Apr.1-5) Kubo (Randy Millete)</t>
  </si>
  <si>
    <t>Payroll (Apr.6) genset (Randy Millete)</t>
  </si>
  <si>
    <t>Anahaw (2000 pcs)kubo</t>
  </si>
  <si>
    <t>Foursome Trading(vios gaz)</t>
  </si>
  <si>
    <t>Saverite (kubo)</t>
  </si>
  <si>
    <t>Allowance by Luz Galang (Mar.17-Apr.16)</t>
  </si>
  <si>
    <t>Labor atop kubo (Apr.8-13) Alfredo Asejo</t>
  </si>
  <si>
    <t>Labor atop kubo (Apr.8-13) Jason Asejo</t>
  </si>
  <si>
    <t>SSS (Michelle Cuario)March 24"</t>
  </si>
  <si>
    <t>Al-Sur Trading (b2b)</t>
  </si>
  <si>
    <t>Payroll (Randy Millete)apr.15-16) bh</t>
  </si>
  <si>
    <t>Payroll (Randy Millete)apr.17-18)mh</t>
  </si>
  <si>
    <t>Electricbill (April 24")</t>
  </si>
  <si>
    <t>Salary (Apr.1-30) Michelle Cuario</t>
  </si>
  <si>
    <t>Janitorial</t>
  </si>
  <si>
    <t>TOTAL</t>
  </si>
  <si>
    <t>May</t>
  </si>
  <si>
    <t>Legazpi Water Distric (Apr.24)</t>
  </si>
  <si>
    <t>Money Given to Dianna</t>
  </si>
  <si>
    <t>SSS (Michelle)Apr.24</t>
  </si>
  <si>
    <t>Pzinzelle Trading</t>
  </si>
  <si>
    <t>Legazpi City Tiles (3b,3e,2d)</t>
  </si>
  <si>
    <t>Labor (may 9-11) Randy Millete</t>
  </si>
  <si>
    <t>Electricbill (May 24)</t>
  </si>
  <si>
    <t xml:space="preserve">MAY </t>
  </si>
  <si>
    <t>JUNE</t>
  </si>
  <si>
    <t>Legazpi Grace Home (3E)</t>
  </si>
  <si>
    <t>Legazpi Water Distric (May 24)</t>
  </si>
  <si>
    <t>Alvin Repair Shop (pump repair bh)</t>
  </si>
  <si>
    <t>A.Acosta Enterprises (pump parts)</t>
  </si>
  <si>
    <t>Lucky Edduc.Supply</t>
  </si>
  <si>
    <t>SSS (Michelle) May 24"</t>
  </si>
  <si>
    <t>Banquarequan Enterprises (1b)</t>
  </si>
  <si>
    <t>labor Jun 24-27)Randdy Millete)3e,1b</t>
  </si>
  <si>
    <t>JULY</t>
  </si>
  <si>
    <t>Electricbill (jun.24)</t>
  </si>
  <si>
    <t>Foursome Trading (genset gas)</t>
  </si>
  <si>
    <t>Costa  Enterprises (penthouse pump)</t>
  </si>
  <si>
    <t>Gonzaga Hardware (penthouse pump)</t>
  </si>
  <si>
    <t>Alvin RepaIR Shop (pump repair PH)</t>
  </si>
  <si>
    <t>Mr.DIY</t>
  </si>
  <si>
    <t>Payroll (Randy Millete (jul.1-6)</t>
  </si>
  <si>
    <t>SSS (Michelle) Jun.24</t>
  </si>
  <si>
    <t>Legazpi Water Distric (Jun.24)</t>
  </si>
  <si>
    <t>Legazpi City Tiles Paint</t>
  </si>
  <si>
    <t>Labor (Randy Millete)3g</t>
  </si>
  <si>
    <t>Citi Plus          Home Depo</t>
  </si>
  <si>
    <t>Electricbill (july 24)</t>
  </si>
  <si>
    <t>Salary (JulY 1-31) Michelle Cuario</t>
  </si>
  <si>
    <t>AUGUST</t>
  </si>
  <si>
    <t>Citi Plus          Home Depo (3g)</t>
  </si>
  <si>
    <t xml:space="preserve">Prinzelle Trading </t>
  </si>
  <si>
    <t>Labor Randy Millete</t>
  </si>
  <si>
    <t>Legazpi Water Distric (JULY 24)"</t>
  </si>
  <si>
    <t>Philhealth (Jul,Aug,Sep)Michelle</t>
  </si>
  <si>
    <t>SSS (Michelle) July 24"</t>
  </si>
  <si>
    <t>Almine Glass Supply</t>
  </si>
  <si>
    <t>Electricbill (August 2024")</t>
  </si>
  <si>
    <t>Roche Construction Supply (minhouse pump)</t>
  </si>
  <si>
    <t>Labor (Randy/Ronel millete)</t>
  </si>
  <si>
    <t>Salary (Michelle Cuario) Aug.1-31,2024:</t>
  </si>
  <si>
    <r>
      <rPr>
        <sz val="8"/>
        <color theme="1"/>
        <rFont val="Calibri"/>
        <family val="2"/>
        <scheme val="minor"/>
      </rPr>
      <t xml:space="preserve">              </t>
    </r>
    <r>
      <rPr>
        <b/>
        <sz val="8"/>
        <color theme="1"/>
        <rFont val="Calibri"/>
        <family val="2"/>
        <scheme val="minor"/>
      </rPr>
      <t xml:space="preserve"> TOTAL</t>
    </r>
  </si>
  <si>
    <t>SEPTEMBER</t>
  </si>
  <si>
    <t>Triple Fortune</t>
  </si>
  <si>
    <t>Roche Lumber 9bh pump)</t>
  </si>
  <si>
    <t>Legazpi Water Distric (Aug.24]</t>
  </si>
  <si>
    <t>Farm Station</t>
  </si>
  <si>
    <t>SSS   (August 24) Michelle</t>
  </si>
  <si>
    <t>Electricbill (Sep.24)</t>
  </si>
  <si>
    <t>Electricbill (2g)</t>
  </si>
  <si>
    <t>Electricbill (b3f)</t>
  </si>
  <si>
    <t>Maintenance (Michelle)</t>
  </si>
  <si>
    <t>Salary (Michelle Cuario) Sep,1-30,2024:</t>
  </si>
  <si>
    <t>OCTOBER</t>
  </si>
  <si>
    <t>Pet Street</t>
  </si>
  <si>
    <t>Legazpi Water District (sep.24)</t>
  </si>
  <si>
    <t>BDO( FE)</t>
  </si>
  <si>
    <t>Von-Han (LPG)</t>
  </si>
  <si>
    <t>Legazpi City Tiles</t>
  </si>
  <si>
    <t xml:space="preserve">Notary (atty. Lawenko)3rd SMR </t>
  </si>
  <si>
    <t>AL-Power (genset)</t>
  </si>
  <si>
    <t>Decom Enterprises (mh pump)</t>
  </si>
  <si>
    <t>Roche Lumber (mh pump)</t>
  </si>
  <si>
    <t>Handyman</t>
  </si>
  <si>
    <t>Manson Hardware</t>
  </si>
  <si>
    <t>Labor (Randy Millete)Oct.12-13</t>
  </si>
  <si>
    <t>PNB (Fe)</t>
  </si>
  <si>
    <t>BPI (Fe)</t>
  </si>
  <si>
    <t>BPI (Dianna)</t>
  </si>
  <si>
    <t>Legazpi Saving Bank (Fe)</t>
  </si>
  <si>
    <t>Legazpi Saving Bank (chris)</t>
  </si>
  <si>
    <t>Money Given to Dianna (penthouse rental)</t>
  </si>
  <si>
    <t>Willy Son (water dispenser)</t>
  </si>
  <si>
    <t>Michelle (cemetary )</t>
  </si>
  <si>
    <t>Palabok</t>
  </si>
  <si>
    <t>Boklan</t>
  </si>
  <si>
    <t>Market</t>
  </si>
  <si>
    <t>Red Ribbon</t>
  </si>
  <si>
    <t xml:space="preserve">Flower </t>
  </si>
  <si>
    <t>SM Supermarket</t>
  </si>
  <si>
    <t>Internet Globe</t>
  </si>
  <si>
    <t>David Salon (fe  haircut)</t>
  </si>
  <si>
    <t>Western Union Linda (700)</t>
  </si>
  <si>
    <t>Fuel Hub (genset gas)</t>
  </si>
  <si>
    <t>Abacus Book</t>
  </si>
  <si>
    <t>Metro Legazpi (glass contener)</t>
  </si>
  <si>
    <t>Metro Legazpi</t>
  </si>
  <si>
    <t>Balta Fuel Hub</t>
  </si>
  <si>
    <t>Greenwich</t>
  </si>
  <si>
    <t xml:space="preserve">Labor Lydia,Angie,Denden </t>
  </si>
  <si>
    <t>Daraga Dy Enterprises (penthouse pump)</t>
  </si>
  <si>
    <t>Labor (Randy Millete)</t>
  </si>
  <si>
    <t>SSS (Michelle) Sep.24</t>
  </si>
  <si>
    <t>BDO (FE)</t>
  </si>
  <si>
    <t>Salary (Michelle Cuario) Oct,1-31,2024:</t>
  </si>
  <si>
    <t>Legazpi Golden Dragon</t>
  </si>
  <si>
    <t>Massage (Hilot,santigwar)</t>
  </si>
  <si>
    <t>Flowers (cemetary)</t>
  </si>
  <si>
    <t xml:space="preserve">                     TOTAL</t>
  </si>
  <si>
    <t>NOVEMBER</t>
  </si>
  <si>
    <t xml:space="preserve">Metro Guisano </t>
  </si>
  <si>
    <t>Foursome</t>
  </si>
  <si>
    <t>Electricbill (October 24)</t>
  </si>
  <si>
    <t>Manggoes</t>
  </si>
  <si>
    <t>Mirisbiris</t>
  </si>
  <si>
    <t>Pasalubong pili candies</t>
  </si>
  <si>
    <t xml:space="preserve">Litson </t>
  </si>
  <si>
    <t>Mangoes</t>
  </si>
  <si>
    <t>Wilcon Depot Inc. (b2b unit)</t>
  </si>
  <si>
    <t xml:space="preserve">Wilcon Depot Inc. </t>
  </si>
  <si>
    <t>Refund Deeposit 1e</t>
  </si>
  <si>
    <t>DMP Gadgets (USB)</t>
  </si>
  <si>
    <t>Prinzelle Trading (genset house)</t>
  </si>
  <si>
    <t>November</t>
  </si>
  <si>
    <t>Misibis Property Tax 2025</t>
  </si>
  <si>
    <t>Legazpi Water Distric (Oct.24)</t>
  </si>
  <si>
    <t>Labor (nov.11)Randy Millete (penthouse)</t>
  </si>
  <si>
    <t>Labor (nov.12) Randy Millete (b2b</t>
  </si>
  <si>
    <t>Labor (nov.13-15)Randy Millete (bh)</t>
  </si>
  <si>
    <t>Greenergy Distributor Corp. (genseet gas)</t>
  </si>
  <si>
    <t>Property Tax year 2025 (Sagpon) Fe Dasilva</t>
  </si>
  <si>
    <t>Property Tax (Sagpon)Linda Fe Luz</t>
  </si>
  <si>
    <t>SSS (Michelle )Oct.24"</t>
  </si>
  <si>
    <t xml:space="preserve">Labor (nov.18-23)Randy Millete </t>
  </si>
  <si>
    <t>Labor (nov.25-30) Randy Millete</t>
  </si>
  <si>
    <t>Salary (Michelle Cuario) Nov.1-30,2024:</t>
  </si>
  <si>
    <t>BDO (FE) deposit</t>
  </si>
  <si>
    <t xml:space="preserve">                 TOTALS</t>
  </si>
  <si>
    <t>DECEMBER</t>
  </si>
  <si>
    <t>Western Union Linda (600$)</t>
  </si>
  <si>
    <t>Lladone Hardware</t>
  </si>
  <si>
    <t>Electricbill (Nov.24)</t>
  </si>
  <si>
    <t>Labor (Randy Millete)dec.2-7</t>
  </si>
  <si>
    <t>Legazpi Water Distric (Nov.24)</t>
  </si>
  <si>
    <t>SSS (Nov.24) Michelle Cuario</t>
  </si>
  <si>
    <t>BPI Chris</t>
  </si>
  <si>
    <t>Labor (Randy Millete) dec.9-12</t>
  </si>
  <si>
    <t>Aleco Inc.</t>
  </si>
  <si>
    <t>Salary (Michelle cuario) Dec.1-31,2024</t>
  </si>
  <si>
    <t>JANUARY 2025"</t>
  </si>
  <si>
    <r>
      <t xml:space="preserve">Guilcyn Penetrante </t>
    </r>
    <r>
      <rPr>
        <sz val="9"/>
        <color rgb="FFFF0000"/>
        <rFont val="Arial"/>
        <family val="2"/>
      </rPr>
      <t>OR4846</t>
    </r>
  </si>
  <si>
    <r>
      <t xml:space="preserve">Jade Marmol  </t>
    </r>
    <r>
      <rPr>
        <sz val="9"/>
        <color rgb="FFFF0000"/>
        <rFont val="Arial"/>
        <family val="2"/>
      </rPr>
      <t>OR#48</t>
    </r>
    <r>
      <rPr>
        <sz val="9"/>
        <color rgb="FFC00000"/>
        <rFont val="Arial"/>
        <family val="2"/>
      </rPr>
      <t>47</t>
    </r>
  </si>
  <si>
    <r>
      <t xml:space="preserve">Ron Juliene Dominguino </t>
    </r>
    <r>
      <rPr>
        <sz val="8"/>
        <color rgb="FFFF0000"/>
        <rFont val="Arial"/>
        <family val="2"/>
      </rPr>
      <t>OR#4848</t>
    </r>
  </si>
  <si>
    <r>
      <t xml:space="preserve">Lobby Toor </t>
    </r>
    <r>
      <rPr>
        <sz val="9"/>
        <color rgb="FFFF0000"/>
        <rFont val="Arial"/>
        <family val="2"/>
      </rPr>
      <t>OR#4849</t>
    </r>
  </si>
  <si>
    <r>
      <t xml:space="preserve">Alejandro Delarosa </t>
    </r>
    <r>
      <rPr>
        <sz val="9"/>
        <color rgb="FFFF0000"/>
        <rFont val="Arial"/>
        <family val="2"/>
      </rPr>
      <t>OR#4850</t>
    </r>
  </si>
  <si>
    <r>
      <t xml:space="preserve">Bob Dumas </t>
    </r>
    <r>
      <rPr>
        <sz val="9"/>
        <color rgb="FFFF0000"/>
        <rFont val="Arial"/>
        <family val="2"/>
      </rPr>
      <t>OR#48</t>
    </r>
    <r>
      <rPr>
        <sz val="9"/>
        <color rgb="FFC00000"/>
        <rFont val="Arial"/>
        <family val="2"/>
      </rPr>
      <t>52</t>
    </r>
  </si>
  <si>
    <r>
      <t xml:space="preserve">Jayson Anonuevo </t>
    </r>
    <r>
      <rPr>
        <sz val="9"/>
        <color rgb="FFFF0000"/>
        <rFont val="Arial"/>
        <family val="2"/>
      </rPr>
      <t>OR#4854</t>
    </r>
  </si>
  <si>
    <t>Jan.7-Feb.6/25</t>
  </si>
  <si>
    <t>Jan. 29-Feb.28/25</t>
  </si>
  <si>
    <t>Jan..26-Feb.25/25</t>
  </si>
  <si>
    <t>Jan.9-Feb.8/25</t>
  </si>
  <si>
    <t>Jan.15-Feb.14/25</t>
  </si>
  <si>
    <t>Jan.3-Feb.2/25</t>
  </si>
  <si>
    <t>Jan.1-31/25</t>
  </si>
  <si>
    <t>Jan.30-Feb.29/25</t>
  </si>
  <si>
    <t>Jan.28-Feb.27/25</t>
  </si>
  <si>
    <t>Jan.4-Feb.3/25</t>
  </si>
  <si>
    <t>Jan.31-Feb.30/25</t>
  </si>
  <si>
    <t>Jan.18-Feb.17/25</t>
  </si>
  <si>
    <t>Jan.31-Feb30/25</t>
  </si>
  <si>
    <r>
      <t xml:space="preserve">Mireel Fatima Parcarey </t>
    </r>
    <r>
      <rPr>
        <sz val="8"/>
        <color rgb="FFFF0000"/>
        <rFont val="Arial"/>
        <family val="2"/>
      </rPr>
      <t>OR#4851</t>
    </r>
  </si>
  <si>
    <r>
      <t>Sandrine Jammeka Mariano</t>
    </r>
    <r>
      <rPr>
        <sz val="8"/>
        <color rgb="FFFF0000"/>
        <rFont val="Arial"/>
        <family val="2"/>
      </rPr>
      <t xml:space="preserve"> OR#4853</t>
    </r>
  </si>
  <si>
    <r>
      <t xml:space="preserve">Gupreet Sigh </t>
    </r>
    <r>
      <rPr>
        <sz val="9"/>
        <color rgb="FFFF0000"/>
        <rFont val="Arial"/>
        <family val="2"/>
      </rPr>
      <t>OR#4855</t>
    </r>
  </si>
  <si>
    <r>
      <t xml:space="preserve">Daryl Rivero </t>
    </r>
    <r>
      <rPr>
        <sz val="9"/>
        <color rgb="FFFF0000"/>
        <rFont val="Arial"/>
        <family val="2"/>
      </rPr>
      <t>OR#4857</t>
    </r>
  </si>
  <si>
    <r>
      <t xml:space="preserve">Sheena Mae Guianan </t>
    </r>
    <r>
      <rPr>
        <sz val="9"/>
        <color rgb="FFFF0000"/>
        <rFont val="Arial"/>
        <family val="2"/>
      </rPr>
      <t>OR#4858</t>
    </r>
  </si>
  <si>
    <r>
      <t xml:space="preserve">Jade Marmol  </t>
    </r>
    <r>
      <rPr>
        <sz val="9"/>
        <color rgb="FFFF0000"/>
        <rFont val="Arial"/>
        <family val="2"/>
      </rPr>
      <t>OR#4859</t>
    </r>
  </si>
  <si>
    <r>
      <t xml:space="preserve">EJ Millare </t>
    </r>
    <r>
      <rPr>
        <sz val="9"/>
        <color rgb="FFFF0000"/>
        <rFont val="Arial"/>
        <family val="2"/>
      </rPr>
      <t>OR#4860</t>
    </r>
  </si>
  <si>
    <r>
      <t xml:space="preserve">Joan Rejuso </t>
    </r>
    <r>
      <rPr>
        <sz val="9"/>
        <color rgb="FFFF0000"/>
        <rFont val="Arial"/>
        <family val="2"/>
      </rPr>
      <t>OR#4861</t>
    </r>
  </si>
  <si>
    <r>
      <t xml:space="preserve">Balu Sandhi </t>
    </r>
    <r>
      <rPr>
        <sz val="9"/>
        <color rgb="FFFF0000"/>
        <rFont val="Arial"/>
        <family val="2"/>
      </rPr>
      <t>OR#4856</t>
    </r>
  </si>
  <si>
    <r>
      <t>France Sacueza</t>
    </r>
    <r>
      <rPr>
        <sz val="9"/>
        <color rgb="FFFF0000"/>
        <rFont val="Arial"/>
        <family val="2"/>
      </rPr>
      <t xml:space="preserve"> OR#4862</t>
    </r>
  </si>
  <si>
    <r>
      <t xml:space="preserve">Bob Dumas </t>
    </r>
    <r>
      <rPr>
        <sz val="9"/>
        <color rgb="FFFF0000"/>
        <rFont val="Arial"/>
        <family val="2"/>
      </rPr>
      <t>OR#4863</t>
    </r>
  </si>
  <si>
    <r>
      <t xml:space="preserve">Alejandro Delarosa </t>
    </r>
    <r>
      <rPr>
        <sz val="9"/>
        <color rgb="FFFF0000"/>
        <rFont val="Arial"/>
        <family val="2"/>
      </rPr>
      <t>OR#4864</t>
    </r>
  </si>
  <si>
    <r>
      <t xml:space="preserve">Hannah Faye Delos Reyes </t>
    </r>
    <r>
      <rPr>
        <sz val="8"/>
        <color rgb="FFFF0000"/>
        <rFont val="Arial"/>
        <family val="2"/>
      </rPr>
      <t>OR#4865</t>
    </r>
  </si>
  <si>
    <r>
      <t xml:space="preserve">Lobby Toor </t>
    </r>
    <r>
      <rPr>
        <sz val="9"/>
        <color rgb="FFFF0000"/>
        <rFont val="Arial"/>
        <family val="2"/>
      </rPr>
      <t>OR#4866</t>
    </r>
  </si>
  <si>
    <r>
      <t xml:space="preserve">Guilcyn Penetrante </t>
    </r>
    <r>
      <rPr>
        <sz val="9"/>
        <color rgb="FFFF0000"/>
        <rFont val="Arial"/>
        <family val="2"/>
      </rPr>
      <t>OR4867</t>
    </r>
  </si>
  <si>
    <r>
      <t xml:space="preserve">Ron Juliene Dominguino </t>
    </r>
    <r>
      <rPr>
        <sz val="8"/>
        <color rgb="FFFF0000"/>
        <rFont val="Arial"/>
        <family val="2"/>
      </rPr>
      <t>OR#4868</t>
    </r>
  </si>
  <si>
    <t>Jan.10-Feb.9/25</t>
  </si>
  <si>
    <t>Jan.21-Feb.20/25</t>
  </si>
  <si>
    <t>Jan.27-Feb.28/25</t>
  </si>
  <si>
    <t>Jan.31-Feb.29/25</t>
  </si>
  <si>
    <t>Jan.2-Feb.1/25</t>
  </si>
  <si>
    <t>Jan.13-Feb.12/25</t>
  </si>
  <si>
    <t>Jan.25-Feb24/25</t>
  </si>
  <si>
    <t>2025"</t>
  </si>
  <si>
    <t>JANUARY</t>
  </si>
  <si>
    <t>Electricbill (Dec.24)</t>
  </si>
  <si>
    <t>Buseness Permit 2025</t>
  </si>
  <si>
    <t>Sanitary Permit</t>
  </si>
  <si>
    <t>4th quareter SMR (Atty.Lawenko)</t>
  </si>
  <si>
    <t>SSS (Michelle Cuario) Dec.2024)</t>
  </si>
  <si>
    <t>Legazpi Water Distric (dec.24)</t>
  </si>
  <si>
    <t>Philhealth (oct,nov,dec.2024)Michelle</t>
  </si>
  <si>
    <t>BIR Annual 1701 year 2024</t>
  </si>
  <si>
    <t>ATR (Authurity To Print)</t>
  </si>
  <si>
    <t>Legazpi Saving Bank (fe)</t>
  </si>
  <si>
    <t>PNB (fe)</t>
  </si>
  <si>
    <t>BDO (fe)</t>
  </si>
  <si>
    <t>101 Shoping Mall</t>
  </si>
  <si>
    <t>Western Union (600$) Linda Oaklander</t>
  </si>
  <si>
    <t xml:space="preserve">Green Energy Distributor </t>
  </si>
  <si>
    <t>Power Up Contruction and Supply (b2f)</t>
  </si>
  <si>
    <t>Jhun Leron Labor</t>
  </si>
  <si>
    <t>Philhealth (jan,feb, mar.2025)Michelle</t>
  </si>
  <si>
    <t>Salary (Michelle Cuario)jan.1-31/25</t>
  </si>
  <si>
    <t xml:space="preserve">Maintenance  </t>
  </si>
  <si>
    <t>TOTALS</t>
  </si>
  <si>
    <t xml:space="preserve">JANUARY </t>
  </si>
  <si>
    <t>Community Tax Permit</t>
  </si>
  <si>
    <t>FEBRUARY 2025"</t>
  </si>
  <si>
    <t>Feb.7-Mar.6/25</t>
  </si>
  <si>
    <t>Feb. 29-Mar.28/25</t>
  </si>
  <si>
    <t>Feb.26-Mar.25/25</t>
  </si>
  <si>
    <t>Feb.9-Mar.8/25</t>
  </si>
  <si>
    <t>Feb.15-Mar.14/25</t>
  </si>
  <si>
    <t>Feb.3-Feb.2/25</t>
  </si>
  <si>
    <t>Feb.1-28/25</t>
  </si>
  <si>
    <t>Feb.30-Mar.29/25</t>
  </si>
  <si>
    <t>Feb.28-Mar.27/25</t>
  </si>
  <si>
    <t>Feb.4-Mar.3/25</t>
  </si>
  <si>
    <t>Feb.31-Mar.30/25</t>
  </si>
  <si>
    <t>Feb.18-Mar.17/25</t>
  </si>
  <si>
    <t>Feb.10-Mar.9/25</t>
  </si>
  <si>
    <t>Feb.21-Mar.20/25</t>
  </si>
  <si>
    <t>Feb.3-Mar.2/25</t>
  </si>
  <si>
    <t>Feb.27-Mar.28/25</t>
  </si>
  <si>
    <t>Feb.31-Mar.29/25</t>
  </si>
  <si>
    <t>Feb.2-Mar.1/25</t>
  </si>
  <si>
    <t>Feb.13-Mar.12/25</t>
  </si>
  <si>
    <t>Feb.25-Mar.24/25</t>
  </si>
  <si>
    <r>
      <t xml:space="preserve">Pallavi Ravichandran </t>
    </r>
    <r>
      <rPr>
        <sz val="9"/>
        <color rgb="FFFF0000"/>
        <rFont val="Arial"/>
        <family val="2"/>
      </rPr>
      <t>OR#4869</t>
    </r>
  </si>
  <si>
    <r>
      <t xml:space="preserve">Jayson Anonuevo </t>
    </r>
    <r>
      <rPr>
        <sz val="9"/>
        <color rgb="FFFF0000"/>
        <rFont val="Arial"/>
        <family val="2"/>
      </rPr>
      <t>OR#4870</t>
    </r>
  </si>
  <si>
    <r>
      <t xml:space="preserve">Mulla Juveria  </t>
    </r>
    <r>
      <rPr>
        <sz val="9"/>
        <color rgb="FFFF0000"/>
        <rFont val="Arial"/>
        <family val="2"/>
      </rPr>
      <t>OR#4871</t>
    </r>
  </si>
  <si>
    <r>
      <t xml:space="preserve">Hannah Faye Delos Reyes </t>
    </r>
    <r>
      <rPr>
        <sz val="8"/>
        <color rgb="FFFF0000"/>
        <rFont val="Arial"/>
        <family val="2"/>
      </rPr>
      <t>OR#4872</t>
    </r>
  </si>
  <si>
    <r>
      <t xml:space="preserve">Mireel Fatima Parcarey </t>
    </r>
    <r>
      <rPr>
        <sz val="8"/>
        <color rgb="FFFF0000"/>
        <rFont val="Arial"/>
        <family val="2"/>
      </rPr>
      <t>OR#4873</t>
    </r>
  </si>
  <si>
    <r>
      <t xml:space="preserve">Sheena Mae Guianan </t>
    </r>
    <r>
      <rPr>
        <sz val="9"/>
        <color rgb="FFFF0000"/>
        <rFont val="Arial"/>
        <family val="2"/>
      </rPr>
      <t>OR#4874</t>
    </r>
  </si>
  <si>
    <r>
      <t>Sandrine Jammeka Mariano</t>
    </r>
    <r>
      <rPr>
        <sz val="8"/>
        <color rgb="FFFF0000"/>
        <rFont val="Arial"/>
        <family val="2"/>
      </rPr>
      <t xml:space="preserve"> OR#4875</t>
    </r>
  </si>
  <si>
    <r>
      <t xml:space="preserve">Balu Sandhi </t>
    </r>
    <r>
      <rPr>
        <sz val="9"/>
        <color rgb="FFFF0000"/>
        <rFont val="Arial"/>
        <family val="2"/>
      </rPr>
      <t>OR#4876</t>
    </r>
  </si>
  <si>
    <r>
      <t xml:space="preserve">Guilcyn Penetrante </t>
    </r>
    <r>
      <rPr>
        <sz val="9"/>
        <color rgb="FFFF0000"/>
        <rFont val="Arial"/>
        <family val="2"/>
      </rPr>
      <t>OR4877</t>
    </r>
  </si>
  <si>
    <r>
      <t xml:space="preserve">Ron Juliene Dominguino </t>
    </r>
    <r>
      <rPr>
        <sz val="8"/>
        <color rgb="FFFF0000"/>
        <rFont val="Arial"/>
        <family val="2"/>
      </rPr>
      <t>OR#4878</t>
    </r>
  </si>
  <si>
    <r>
      <t xml:space="preserve">EJ Millare </t>
    </r>
    <r>
      <rPr>
        <sz val="9"/>
        <color rgb="FFFF0000"/>
        <rFont val="Arial"/>
        <family val="2"/>
      </rPr>
      <t>OR#4879</t>
    </r>
  </si>
  <si>
    <r>
      <t>France Sacueza</t>
    </r>
    <r>
      <rPr>
        <sz val="9"/>
        <color rgb="FFFF0000"/>
        <rFont val="Arial"/>
        <family val="2"/>
      </rPr>
      <t xml:space="preserve"> OR#4880</t>
    </r>
  </si>
  <si>
    <r>
      <t xml:space="preserve">Alejandro Delarosa </t>
    </r>
    <r>
      <rPr>
        <sz val="9"/>
        <color rgb="FFFF0000"/>
        <rFont val="Arial"/>
        <family val="2"/>
      </rPr>
      <t>OR#4881</t>
    </r>
  </si>
  <si>
    <r>
      <t xml:space="preserve">Joan Rejuso </t>
    </r>
    <r>
      <rPr>
        <sz val="9"/>
        <color rgb="FFFF0000"/>
        <rFont val="Arial"/>
        <family val="2"/>
      </rPr>
      <t>OR#4882</t>
    </r>
  </si>
  <si>
    <r>
      <t xml:space="preserve">Pallavi Ravichandran </t>
    </r>
    <r>
      <rPr>
        <sz val="9"/>
        <color rgb="FFFF0000"/>
        <rFont val="Arial"/>
        <family val="2"/>
      </rPr>
      <t>OR#4883</t>
    </r>
  </si>
  <si>
    <r>
      <t xml:space="preserve">Gupreet Sigh </t>
    </r>
    <r>
      <rPr>
        <sz val="9"/>
        <color rgb="FFFF0000"/>
        <rFont val="Arial"/>
        <family val="2"/>
      </rPr>
      <t>OR#4884</t>
    </r>
  </si>
  <si>
    <r>
      <t xml:space="preserve">Jade Marmol  </t>
    </r>
    <r>
      <rPr>
        <sz val="9"/>
        <color rgb="FFFF0000"/>
        <rFont val="Arial"/>
        <family val="2"/>
      </rPr>
      <t>OR#4885</t>
    </r>
  </si>
  <si>
    <r>
      <t xml:space="preserve">Bob Dumas </t>
    </r>
    <r>
      <rPr>
        <sz val="9"/>
        <color rgb="FFFF0000"/>
        <rFont val="Arial"/>
        <family val="2"/>
      </rPr>
      <t>OR#4886</t>
    </r>
  </si>
  <si>
    <r>
      <t xml:space="preserve">Mulla Juveria </t>
    </r>
    <r>
      <rPr>
        <sz val="9"/>
        <color rgb="FFFF0000"/>
        <rFont val="Arial"/>
        <family val="2"/>
      </rPr>
      <t>OR#4887</t>
    </r>
  </si>
  <si>
    <t>FEBRUARY</t>
  </si>
  <si>
    <t>Jetti (genset gas)</t>
  </si>
  <si>
    <t>Electric bill (Jan.25)</t>
  </si>
  <si>
    <t>Electric bill (Jan.25) 3b</t>
  </si>
  <si>
    <t xml:space="preserve">13th month </t>
  </si>
  <si>
    <t>Legazpi Water Distric (jan.25)</t>
  </si>
  <si>
    <t>SSS (Michelle Cuario) Jan.25</t>
  </si>
  <si>
    <t>Jun Leron Labor (fe.20-21)</t>
  </si>
  <si>
    <t>Bpi (fe)</t>
  </si>
  <si>
    <t>BPI (chris)</t>
  </si>
  <si>
    <t>Legazpi Saving bank (fe)</t>
  </si>
  <si>
    <t>Legazpi Saving Bank (chris/dianna)</t>
  </si>
  <si>
    <t>Western Union (500$) Linda Oaklander</t>
  </si>
  <si>
    <t>Salary (Michelle Cuario) feb.1-28/25</t>
  </si>
  <si>
    <t xml:space="preserve">            TOTALS</t>
  </si>
  <si>
    <t>MARCH</t>
  </si>
  <si>
    <t>Brent Gas (mainhouse gas)</t>
  </si>
  <si>
    <t>Electricbill (February2025)</t>
  </si>
  <si>
    <t>Electricbill (February2025) (3b)</t>
  </si>
  <si>
    <t>Legazpi Water Distric (february 25)</t>
  </si>
  <si>
    <t>Vios Renew (Registration,stainsell,emision)</t>
  </si>
  <si>
    <t>Randy Millete Labor (mar.3-8) genset cage</t>
  </si>
  <si>
    <t>Aleco  Repair boardinghouse meters(Jessie Alibin)</t>
  </si>
  <si>
    <t>Labor (Randy Millete)genset cage)mar.10-15)</t>
  </si>
  <si>
    <t>SSS (Michelle)Feb.25</t>
  </si>
  <si>
    <t>Cyenne Construction</t>
  </si>
  <si>
    <t>Allowance (mar.21-Apr.20) Luz Galang</t>
  </si>
  <si>
    <t>Luz Share</t>
  </si>
  <si>
    <t>Labor (Randy Millete)mainhouse kubo)mar.17-22)</t>
  </si>
  <si>
    <t>Bicolandia (PCO Siminar)Michelle Cuario</t>
  </si>
  <si>
    <t>Att.Lawenko Notary undertaking (Michelle)</t>
  </si>
  <si>
    <t>Prinzelle Trading</t>
  </si>
  <si>
    <t>Wilcon Depot</t>
  </si>
  <si>
    <t xml:space="preserve">Labor (Randy Millete)3rd floor ceiling back </t>
  </si>
  <si>
    <t>(mar.24-26)</t>
  </si>
  <si>
    <t>Labor (Randy Millete)penthouse ceiling</t>
  </si>
  <si>
    <t>Mar.27-29</t>
  </si>
  <si>
    <t>Salary (Michelle Cuario) mar.1-31/25</t>
  </si>
  <si>
    <t xml:space="preserve">MARCH        </t>
  </si>
  <si>
    <t>MARCH 2025"</t>
  </si>
  <si>
    <t>Mar.7-Apr.6/25</t>
  </si>
  <si>
    <t>Mar. 29-Apr..28/25</t>
  </si>
  <si>
    <t>Mar.26-Apr..25/25</t>
  </si>
  <si>
    <t>Mar.9-Apr.8/25</t>
  </si>
  <si>
    <t>Mar.15-Apr.14/25</t>
  </si>
  <si>
    <t>Mar.3-Apr.2/25</t>
  </si>
  <si>
    <t>Mar.1-28/25</t>
  </si>
  <si>
    <t>Mar.30-Apr.29/25</t>
  </si>
  <si>
    <t>Mar.28-Apr.27/25</t>
  </si>
  <si>
    <t>Mar.4-Apr.3/25</t>
  </si>
  <si>
    <t>Mar.31-Apr.30/25</t>
  </si>
  <si>
    <t>Mar.1-31/25</t>
  </si>
  <si>
    <t>Mar.18-Apr.17/25</t>
  </si>
  <si>
    <t>Mar.10-Apr.9/25</t>
  </si>
  <si>
    <t>Mar.21-Apr.20/25</t>
  </si>
  <si>
    <t>Mar.27-Apr.28/25</t>
  </si>
  <si>
    <t>Mar.31-Apr.29/25</t>
  </si>
  <si>
    <t>Mar.2-Apr.1/25</t>
  </si>
  <si>
    <t>Mar.13-Apr.12/25</t>
  </si>
  <si>
    <t>Mar.25-Apr.24/25</t>
  </si>
  <si>
    <r>
      <t xml:space="preserve">Hannah Faye Delos Reyes </t>
    </r>
    <r>
      <rPr>
        <sz val="8"/>
        <color rgb="FFFF0000"/>
        <rFont val="Arial"/>
        <family val="2"/>
      </rPr>
      <t>OR#4888</t>
    </r>
  </si>
  <si>
    <r>
      <t xml:space="preserve">Jayson Anonuevo </t>
    </r>
    <r>
      <rPr>
        <sz val="9"/>
        <color rgb="FFFF0000"/>
        <rFont val="Arial"/>
        <family val="2"/>
      </rPr>
      <t>OR#4889</t>
    </r>
  </si>
  <si>
    <r>
      <t xml:space="preserve">Lobby Toor </t>
    </r>
    <r>
      <rPr>
        <sz val="9"/>
        <color rgb="FFFF0000"/>
        <rFont val="Arial"/>
        <family val="2"/>
      </rPr>
      <t>OR#4890</t>
    </r>
  </si>
  <si>
    <r>
      <t xml:space="preserve">Daryl Rivero </t>
    </r>
    <r>
      <rPr>
        <sz val="9"/>
        <color rgb="FFFF0000"/>
        <rFont val="Arial"/>
        <family val="2"/>
      </rPr>
      <t>OR#4891</t>
    </r>
  </si>
  <si>
    <r>
      <t xml:space="preserve">Mireel Fatima Parcarey </t>
    </r>
    <r>
      <rPr>
        <sz val="8"/>
        <color rgb="FFFF0000"/>
        <rFont val="Arial"/>
        <family val="2"/>
      </rPr>
      <t>OR#4892</t>
    </r>
  </si>
  <si>
    <r>
      <t>Sandrine Jammeka Mariano</t>
    </r>
    <r>
      <rPr>
        <sz val="8"/>
        <color rgb="FFFF0000"/>
        <rFont val="Arial"/>
        <family val="2"/>
      </rPr>
      <t xml:space="preserve"> OR#4893</t>
    </r>
  </si>
  <si>
    <r>
      <t xml:space="preserve">Sheena Mae Guianan </t>
    </r>
    <r>
      <rPr>
        <sz val="9"/>
        <color rgb="FFFF0000"/>
        <rFont val="Arial"/>
        <family val="2"/>
      </rPr>
      <t>OR#4894</t>
    </r>
  </si>
  <si>
    <t>Sep.1/24</t>
  </si>
  <si>
    <r>
      <t>Love Your Self (LGBT)</t>
    </r>
    <r>
      <rPr>
        <sz val="9"/>
        <color rgb="FFFF0000"/>
        <rFont val="Arial"/>
        <family val="2"/>
      </rPr>
      <t>OR#4896</t>
    </r>
  </si>
  <si>
    <r>
      <t xml:space="preserve">Monica Bea Cabais </t>
    </r>
    <r>
      <rPr>
        <sz val="9"/>
        <color rgb="FFFF0000"/>
        <rFont val="Arial"/>
        <family val="2"/>
      </rPr>
      <t>OR#4897</t>
    </r>
  </si>
  <si>
    <t>Mar.26-Apr.25/25</t>
  </si>
  <si>
    <t>Mar.26/25</t>
  </si>
  <si>
    <r>
      <t xml:space="preserve">Jade Marmol  </t>
    </r>
    <r>
      <rPr>
        <sz val="9"/>
        <color rgb="FFFF0000"/>
        <rFont val="Arial"/>
        <family val="2"/>
      </rPr>
      <t>OR#4898</t>
    </r>
  </si>
  <si>
    <r>
      <t xml:space="preserve">EJ Millare </t>
    </r>
    <r>
      <rPr>
        <sz val="9"/>
        <color rgb="FFFF0000"/>
        <rFont val="Arial"/>
        <family val="2"/>
      </rPr>
      <t>OR#4899</t>
    </r>
  </si>
  <si>
    <r>
      <t xml:space="preserve">Alejandro Delarosa </t>
    </r>
    <r>
      <rPr>
        <sz val="9"/>
        <color rgb="FFFF0000"/>
        <rFont val="Arial"/>
        <family val="2"/>
      </rPr>
      <t>OR#4900</t>
    </r>
  </si>
  <si>
    <r>
      <t xml:space="preserve">Joan Rejuso </t>
    </r>
    <r>
      <rPr>
        <sz val="9"/>
        <color rgb="FFFF0000"/>
        <rFont val="Arial"/>
        <family val="2"/>
      </rPr>
      <t>OR#4901</t>
    </r>
  </si>
  <si>
    <r>
      <t xml:space="preserve">Ron Juliene Dominguino </t>
    </r>
    <r>
      <rPr>
        <sz val="8"/>
        <color rgb="FFFF0000"/>
        <rFont val="Arial"/>
        <family val="2"/>
      </rPr>
      <t>OR#4902</t>
    </r>
  </si>
  <si>
    <r>
      <t xml:space="preserve">Balu Sandhi </t>
    </r>
    <r>
      <rPr>
        <sz val="9"/>
        <color rgb="FFFF0000"/>
        <rFont val="Arial"/>
        <family val="2"/>
      </rPr>
      <t>OR#4903</t>
    </r>
  </si>
  <si>
    <r>
      <t xml:space="preserve">Pallavi Ravichandran </t>
    </r>
    <r>
      <rPr>
        <sz val="9"/>
        <color rgb="FFFF0000"/>
        <rFont val="Arial"/>
        <family val="2"/>
      </rPr>
      <t>OR#4904</t>
    </r>
  </si>
  <si>
    <r>
      <t xml:space="preserve">Bob Dumas </t>
    </r>
    <r>
      <rPr>
        <sz val="9"/>
        <color rgb="FFFF0000"/>
        <rFont val="Arial"/>
        <family val="2"/>
      </rPr>
      <t>OR#4905</t>
    </r>
  </si>
  <si>
    <r>
      <t xml:space="preserve">Jayson Anonuevo </t>
    </r>
    <r>
      <rPr>
        <sz val="9"/>
        <color rgb="FFFF0000"/>
        <rFont val="Arial"/>
        <family val="2"/>
      </rPr>
      <t>OR#4906</t>
    </r>
  </si>
  <si>
    <r>
      <t xml:space="preserve">Mulla Juveria </t>
    </r>
    <r>
      <rPr>
        <sz val="9"/>
        <color rgb="FFFF0000"/>
        <rFont val="Arial"/>
        <family val="2"/>
      </rPr>
      <t>OR#4907</t>
    </r>
  </si>
  <si>
    <r>
      <t xml:space="preserve">Daryl Rivero </t>
    </r>
    <r>
      <rPr>
        <sz val="9"/>
        <color rgb="FFFF0000"/>
        <rFont val="Arial"/>
        <family val="2"/>
      </rPr>
      <t>OR#4909</t>
    </r>
  </si>
  <si>
    <r>
      <t xml:space="preserve">Lobby Toor </t>
    </r>
    <r>
      <rPr>
        <sz val="9"/>
        <color rgb="FFFF0000"/>
        <rFont val="Arial"/>
        <family val="2"/>
      </rPr>
      <t>OR#4908</t>
    </r>
  </si>
  <si>
    <r>
      <t>France Sacueza</t>
    </r>
    <r>
      <rPr>
        <sz val="9"/>
        <color rgb="FFFF0000"/>
        <rFont val="Arial"/>
        <family val="2"/>
      </rPr>
      <t xml:space="preserve"> OR#4910</t>
    </r>
  </si>
  <si>
    <r>
      <t xml:space="preserve">Guilcyn Penetrante </t>
    </r>
    <r>
      <rPr>
        <sz val="9"/>
        <color rgb="FFFF0000"/>
        <rFont val="Arial"/>
        <family val="2"/>
      </rPr>
      <t>OR4911</t>
    </r>
  </si>
  <si>
    <r>
      <t>Love Your Self (LGBT)</t>
    </r>
    <r>
      <rPr>
        <sz val="9"/>
        <color rgb="FFFF0000"/>
        <rFont val="Arial"/>
        <family val="2"/>
      </rPr>
      <t>OR#4895</t>
    </r>
  </si>
  <si>
    <t>Oct1-31/24</t>
  </si>
  <si>
    <t>Sep.1-31/24</t>
  </si>
  <si>
    <t>Apr.7-May.6/25</t>
  </si>
  <si>
    <t>APRIL 2025"</t>
  </si>
  <si>
    <t>Apr. 29-May.28/25</t>
  </si>
  <si>
    <t>Apr.26-May.25/25</t>
  </si>
  <si>
    <t>Apr.9-May.8/25</t>
  </si>
  <si>
    <t>Apr.1-30/25</t>
  </si>
  <si>
    <t>Apr.15-May.14/25</t>
  </si>
  <si>
    <t>Apr.3-May.2/25</t>
  </si>
  <si>
    <t>Apr.30-May.29/25</t>
  </si>
  <si>
    <t>Apr.28-May.27/25</t>
  </si>
  <si>
    <t>Apr.4-May.3/25</t>
  </si>
  <si>
    <t>Apr.31-May.30/25</t>
  </si>
  <si>
    <t>Apr.18-May.17/25</t>
  </si>
  <si>
    <t>Apr.10-May.9/25</t>
  </si>
  <si>
    <t>Apr.21-May.20/25</t>
  </si>
  <si>
    <t>Apr.31-May.29/25</t>
  </si>
  <si>
    <t>Apr.2-May.1/25</t>
  </si>
  <si>
    <t>Apr.13-May.12/25</t>
  </si>
  <si>
    <t>Apr.25-May.24/25</t>
  </si>
  <si>
    <r>
      <t xml:space="preserve">Mireel Fatima Parcarey </t>
    </r>
    <r>
      <rPr>
        <sz val="8"/>
        <color rgb="FFFF0000"/>
        <rFont val="Arial"/>
        <family val="2"/>
      </rPr>
      <t>OR#4912</t>
    </r>
  </si>
  <si>
    <r>
      <t xml:space="preserve">Hannah Faye Delos Reyes </t>
    </r>
    <r>
      <rPr>
        <sz val="8"/>
        <color rgb="FFFF0000"/>
        <rFont val="Arial"/>
        <family val="2"/>
      </rPr>
      <t>OR#4913</t>
    </r>
  </si>
  <si>
    <r>
      <t xml:space="preserve">Gupreet Sigh </t>
    </r>
    <r>
      <rPr>
        <sz val="9"/>
        <color rgb="FFFF0000"/>
        <rFont val="Arial"/>
        <family val="2"/>
      </rPr>
      <t>OR#4914</t>
    </r>
  </si>
  <si>
    <r>
      <t xml:space="preserve">Monica Bea Cabais </t>
    </r>
    <r>
      <rPr>
        <sz val="9"/>
        <color rgb="FFFF0000"/>
        <rFont val="Arial"/>
        <family val="2"/>
      </rPr>
      <t>OR#4915</t>
    </r>
  </si>
  <si>
    <r>
      <t xml:space="preserve">Balu Sandhi </t>
    </r>
    <r>
      <rPr>
        <sz val="9"/>
        <color rgb="FFFF0000"/>
        <rFont val="Arial"/>
        <family val="2"/>
      </rPr>
      <t>OR#4916</t>
    </r>
  </si>
  <si>
    <r>
      <t xml:space="preserve">Alejandro Delarosa </t>
    </r>
    <r>
      <rPr>
        <sz val="9"/>
        <color rgb="FFFF0000"/>
        <rFont val="Arial"/>
        <family val="2"/>
      </rPr>
      <t>OR#4917</t>
    </r>
  </si>
  <si>
    <r>
      <t xml:space="preserve">Joan Rejuso </t>
    </r>
    <r>
      <rPr>
        <sz val="9"/>
        <color rgb="FFFF0000"/>
        <rFont val="Arial"/>
        <family val="2"/>
      </rPr>
      <t>OR#4918</t>
    </r>
  </si>
  <si>
    <r>
      <t xml:space="preserve">Jade Marmol  </t>
    </r>
    <r>
      <rPr>
        <sz val="9"/>
        <color rgb="FFFF0000"/>
        <rFont val="Arial"/>
        <family val="2"/>
      </rPr>
      <t>OR#4919</t>
    </r>
  </si>
  <si>
    <r>
      <t>Sandrine Jammeka Mariano</t>
    </r>
    <r>
      <rPr>
        <sz val="8"/>
        <color rgb="FFFF0000"/>
        <rFont val="Arial"/>
        <family val="2"/>
      </rPr>
      <t xml:space="preserve"> OR#4920</t>
    </r>
  </si>
  <si>
    <r>
      <t xml:space="preserve">Daryl Rivero </t>
    </r>
    <r>
      <rPr>
        <sz val="9"/>
        <color rgb="FFFF0000"/>
        <rFont val="Arial"/>
        <family val="2"/>
      </rPr>
      <t>OR#4921</t>
    </r>
  </si>
  <si>
    <r>
      <t>France Sacueza</t>
    </r>
    <r>
      <rPr>
        <sz val="9"/>
        <color rgb="FFFF0000"/>
        <rFont val="Arial"/>
        <family val="2"/>
      </rPr>
      <t xml:space="preserve"> OR#4922</t>
    </r>
  </si>
  <si>
    <r>
      <t xml:space="preserve">Guilcyn Penetrante </t>
    </r>
    <r>
      <rPr>
        <sz val="9"/>
        <color rgb="FFFF0000"/>
        <rFont val="Arial"/>
        <family val="2"/>
      </rPr>
      <t>OR4923</t>
    </r>
  </si>
  <si>
    <r>
      <t xml:space="preserve">Ron Juliene Dominguino </t>
    </r>
    <r>
      <rPr>
        <sz val="8"/>
        <color rgb="FFFF0000"/>
        <rFont val="Arial"/>
        <family val="2"/>
      </rPr>
      <t>OR#4924</t>
    </r>
  </si>
  <si>
    <r>
      <t xml:space="preserve">Gupreet Sigh </t>
    </r>
    <r>
      <rPr>
        <sz val="9"/>
        <color rgb="FFFF0000"/>
        <rFont val="Arial"/>
        <family val="2"/>
      </rPr>
      <t>OR#4925</t>
    </r>
  </si>
  <si>
    <r>
      <t xml:space="preserve">Bob Dumas </t>
    </r>
    <r>
      <rPr>
        <sz val="9"/>
        <color rgb="FFFF0000"/>
        <rFont val="Arial"/>
        <family val="2"/>
      </rPr>
      <t>OR#4926</t>
    </r>
  </si>
  <si>
    <r>
      <t xml:space="preserve">Pallavi Ravichandran </t>
    </r>
    <r>
      <rPr>
        <sz val="9"/>
        <color rgb="FFFF0000"/>
        <rFont val="Arial"/>
        <family val="2"/>
      </rPr>
      <t>OR#4927</t>
    </r>
  </si>
  <si>
    <r>
      <t xml:space="preserve">Jayson Anonuevo </t>
    </r>
    <r>
      <rPr>
        <sz val="9"/>
        <color rgb="FFFF0000"/>
        <rFont val="Arial"/>
        <family val="2"/>
      </rPr>
      <t>OR#4928</t>
    </r>
  </si>
  <si>
    <r>
      <t xml:space="preserve">EJ Millare </t>
    </r>
    <r>
      <rPr>
        <sz val="9"/>
        <color rgb="FFFF0000"/>
        <rFont val="Arial"/>
        <family val="2"/>
      </rPr>
      <t>OR#4929</t>
    </r>
  </si>
  <si>
    <r>
      <t xml:space="preserve">Lobby Toor </t>
    </r>
    <r>
      <rPr>
        <sz val="9"/>
        <color rgb="FFFF0000"/>
        <rFont val="Arial"/>
        <family val="2"/>
      </rPr>
      <t>OR#4930</t>
    </r>
  </si>
  <si>
    <r>
      <t xml:space="preserve">Mulla Juveria </t>
    </r>
    <r>
      <rPr>
        <sz val="9"/>
        <color rgb="FFFF0000"/>
        <rFont val="Arial"/>
        <family val="2"/>
      </rPr>
      <t>OR#4931</t>
    </r>
  </si>
  <si>
    <t xml:space="preserve">APRIL </t>
  </si>
  <si>
    <t>Manson Trading</t>
  </si>
  <si>
    <t>Daraga Fuel Station</t>
  </si>
  <si>
    <t>Electric for March 25</t>
  </si>
  <si>
    <t>Legazpi Water Distric (March 25")</t>
  </si>
  <si>
    <t>The Mega Mayon (genset)</t>
  </si>
  <si>
    <t>Aleco  Repair transformer repair(Jessie Alibin)</t>
  </si>
  <si>
    <t>Att.Lawenko Notary 1st quarter SMR (Michelle)</t>
  </si>
  <si>
    <t>Wilcon Depot (CCTV)</t>
  </si>
  <si>
    <t>Labor (Mar.31-Apr.5)Randy Millete</t>
  </si>
  <si>
    <t>Labor (apr.7-12) Randy Millete</t>
  </si>
  <si>
    <t>Prinzelle Trading (penthouse)</t>
  </si>
  <si>
    <t>Kwik Triple Fuel</t>
  </si>
  <si>
    <t>Labor (apr.7-12) Randy Millete penthouse</t>
  </si>
  <si>
    <t>Foursome Trading (genset)</t>
  </si>
  <si>
    <t>Wilcon Depot (boardinghouse)</t>
  </si>
  <si>
    <t>Shirwin Marketing (boarding House)</t>
  </si>
  <si>
    <t>Labor (apr.21-23)Randy Millete (penthouse)</t>
  </si>
  <si>
    <t>Labor (apr.24-26)Randy Millete (2g,2e)</t>
  </si>
  <si>
    <t>Salary (Michelle Cuario) Apr.1-30/25</t>
  </si>
  <si>
    <t>BDO Fe</t>
  </si>
  <si>
    <t>BDO fe</t>
  </si>
  <si>
    <t>ARPIL</t>
  </si>
  <si>
    <t>SSS (MARCH) MICHELLE</t>
  </si>
  <si>
    <t>MAY</t>
  </si>
  <si>
    <t>Labor (apr.29-may 3)Randy Millete (penthouse)</t>
  </si>
  <si>
    <t>Electricbill (April 25)</t>
  </si>
  <si>
    <t>A.Costa Enterprises (bh pump)</t>
  </si>
  <si>
    <t>Alvin Repair Shop (bh pump)</t>
  </si>
  <si>
    <t>Vicente Dy Enterprises (bh pump)</t>
  </si>
  <si>
    <t>Legazpi Water Distric (Apr.25)</t>
  </si>
  <si>
    <t>Labor (may 5-10) Randy Millete bh</t>
  </si>
  <si>
    <t>Triple Fortune Hardware (penthouse)</t>
  </si>
  <si>
    <t>Labor (pipe line bh )Randy Millete</t>
  </si>
  <si>
    <t>Manson Hardware (bh)</t>
  </si>
  <si>
    <t xml:space="preserve">Wilcon Depot </t>
  </si>
  <si>
    <t>Labor (may 13)Randy Millete (b3f)</t>
  </si>
  <si>
    <t>Internet</t>
  </si>
  <si>
    <t>Labor (may 12-17)Randy Millete penthouse</t>
  </si>
  <si>
    <t>Electricbill (May 25)</t>
  </si>
  <si>
    <t>Labor (may 26-31)Randy Millete penthouse</t>
  </si>
  <si>
    <t>Salary (Michelle Cuario)  May 1-31</t>
  </si>
  <si>
    <t>SSS (April) MICHELLE Millete</t>
  </si>
  <si>
    <t>MAY 2025"</t>
  </si>
  <si>
    <t>May.7-Jun.6/25</t>
  </si>
  <si>
    <t>May. 29-Jun.28/25</t>
  </si>
  <si>
    <t>May.26-Jun.25/25</t>
  </si>
  <si>
    <t>May.9-Jun.8/25</t>
  </si>
  <si>
    <t>May.1-31/25</t>
  </si>
  <si>
    <t>May.15-Jun.14/25</t>
  </si>
  <si>
    <t>May.3-Jun.2/25</t>
  </si>
  <si>
    <t>May.30-Jun.29/25</t>
  </si>
  <si>
    <t>May.28-Jun.27/25</t>
  </si>
  <si>
    <t>May.4-Jun.3/25</t>
  </si>
  <si>
    <t>May.31-Jun.30/25</t>
  </si>
  <si>
    <t>May.18-Jun.17/25</t>
  </si>
  <si>
    <t>May.10-Jun.9/25</t>
  </si>
  <si>
    <t>May.21-Jun.20/25</t>
  </si>
  <si>
    <t>May.31-Jun.29/25</t>
  </si>
  <si>
    <t>May.2-Jun.1/25</t>
  </si>
  <si>
    <t>May.13-Jun.12/25</t>
  </si>
  <si>
    <t>May.25-Jun.24/25</t>
  </si>
  <si>
    <r>
      <t xml:space="preserve">Mireel Fatima Parcarey </t>
    </r>
    <r>
      <rPr>
        <sz val="8"/>
        <color rgb="FFFF0000"/>
        <rFont val="Arial"/>
        <family val="2"/>
      </rPr>
      <t>OR#4932</t>
    </r>
  </si>
  <si>
    <r>
      <t xml:space="preserve">Manuel Villamor </t>
    </r>
    <r>
      <rPr>
        <sz val="9"/>
        <color rgb="FFC00000"/>
        <rFont val="Arial"/>
        <family val="2"/>
      </rPr>
      <t>OR#4933</t>
    </r>
  </si>
  <si>
    <t>May.20-Jun.19/25</t>
  </si>
  <si>
    <t>May 20/25</t>
  </si>
  <si>
    <r>
      <t xml:space="preserve">Pallavi Ravichandran </t>
    </r>
    <r>
      <rPr>
        <sz val="9"/>
        <color rgb="FFFF0000"/>
        <rFont val="Arial"/>
        <family val="2"/>
      </rPr>
      <t>OR#4934</t>
    </r>
  </si>
  <si>
    <r>
      <t>France Sacueza</t>
    </r>
    <r>
      <rPr>
        <sz val="9"/>
        <color rgb="FFFF0000"/>
        <rFont val="Arial"/>
        <family val="2"/>
      </rPr>
      <t xml:space="preserve"> OR#4935</t>
    </r>
  </si>
  <si>
    <r>
      <t xml:space="preserve">Balu Sandhi </t>
    </r>
    <r>
      <rPr>
        <sz val="9"/>
        <color rgb="FFFF0000"/>
        <rFont val="Arial"/>
        <family val="2"/>
      </rPr>
      <t>OR#4936</t>
    </r>
  </si>
  <si>
    <r>
      <t xml:space="preserve">Monica Bea Cabais </t>
    </r>
    <r>
      <rPr>
        <sz val="9"/>
        <color rgb="FFFF0000"/>
        <rFont val="Arial"/>
        <family val="2"/>
      </rPr>
      <t>OR#4937</t>
    </r>
  </si>
  <si>
    <r>
      <t xml:space="preserve">Jade Marmol  </t>
    </r>
    <r>
      <rPr>
        <sz val="9"/>
        <color rgb="FFFF0000"/>
        <rFont val="Arial"/>
        <family val="2"/>
      </rPr>
      <t>OR#4938</t>
    </r>
  </si>
  <si>
    <r>
      <t xml:space="preserve">Daryl Rivero </t>
    </r>
    <r>
      <rPr>
        <sz val="9"/>
        <color rgb="FFFF0000"/>
        <rFont val="Arial"/>
        <family val="2"/>
      </rPr>
      <t>OR#4939</t>
    </r>
  </si>
  <si>
    <r>
      <t xml:space="preserve">Joan Rejuso </t>
    </r>
    <r>
      <rPr>
        <sz val="9"/>
        <color rgb="FFFF0000"/>
        <rFont val="Arial"/>
        <family val="2"/>
      </rPr>
      <t>OR#4940</t>
    </r>
  </si>
  <si>
    <r>
      <t xml:space="preserve">Alejandro Delarosa </t>
    </r>
    <r>
      <rPr>
        <sz val="9"/>
        <color rgb="FFFF0000"/>
        <rFont val="Arial"/>
        <family val="2"/>
      </rPr>
      <t>OR#4941</t>
    </r>
  </si>
  <si>
    <r>
      <t xml:space="preserve">Ron Juliene Dominguino </t>
    </r>
    <r>
      <rPr>
        <sz val="8"/>
        <color rgb="FFFF0000"/>
        <rFont val="Arial"/>
        <family val="2"/>
      </rPr>
      <t>OR#4942</t>
    </r>
  </si>
  <si>
    <r>
      <t xml:space="preserve">EJ Millare </t>
    </r>
    <r>
      <rPr>
        <sz val="9"/>
        <color rgb="FFFF0000"/>
        <rFont val="Arial"/>
        <family val="2"/>
      </rPr>
      <t>OR#4943</t>
    </r>
  </si>
  <si>
    <r>
      <t xml:space="preserve">Mulla Juveria </t>
    </r>
    <r>
      <rPr>
        <sz val="9"/>
        <color rgb="FFFF0000"/>
        <rFont val="Arial"/>
        <family val="2"/>
      </rPr>
      <t>OR#4944</t>
    </r>
  </si>
  <si>
    <r>
      <t xml:space="preserve">Bob Dumas </t>
    </r>
    <r>
      <rPr>
        <sz val="9"/>
        <color rgb="FFFF0000"/>
        <rFont val="Arial"/>
        <family val="2"/>
      </rPr>
      <t>OR#4945</t>
    </r>
  </si>
  <si>
    <r>
      <t xml:space="preserve">Guilcyn Penetrante </t>
    </r>
    <r>
      <rPr>
        <sz val="9"/>
        <color rgb="FFFF0000"/>
        <rFont val="Arial"/>
        <family val="2"/>
      </rPr>
      <t>OR4946</t>
    </r>
  </si>
  <si>
    <r>
      <t xml:space="preserve">Hannah Faye Delos Reyes </t>
    </r>
    <r>
      <rPr>
        <sz val="8"/>
        <color rgb="FFFF0000"/>
        <rFont val="Arial"/>
        <family val="2"/>
      </rPr>
      <t>OR#4947</t>
    </r>
  </si>
  <si>
    <r>
      <t xml:space="preserve">Gupreet Sigh </t>
    </r>
    <r>
      <rPr>
        <sz val="9"/>
        <color rgb="FFFF0000"/>
        <rFont val="Arial"/>
        <family val="2"/>
      </rPr>
      <t>OR#4948</t>
    </r>
  </si>
  <si>
    <r>
      <t xml:space="preserve">Lobby Toor </t>
    </r>
    <r>
      <rPr>
        <sz val="9"/>
        <color rgb="FFFF0000"/>
        <rFont val="Arial"/>
        <family val="2"/>
      </rPr>
      <t>OR#4949</t>
    </r>
  </si>
  <si>
    <t>Princess Nicole       Nimay</t>
  </si>
  <si>
    <t>May.13/25</t>
  </si>
  <si>
    <t>JUNE 2025"</t>
  </si>
  <si>
    <t>Jun.7-Jul.6/25</t>
  </si>
  <si>
    <t>Jun. 29-Jul.28/25</t>
  </si>
  <si>
    <t>Jun.26-Jul.25/25</t>
  </si>
  <si>
    <t>Jun.9-Jul.8/25</t>
  </si>
  <si>
    <t>Jun.1-31/25</t>
  </si>
  <si>
    <t>Jun.15-Jul.14/25</t>
  </si>
  <si>
    <t>Jun.3-Jul.2/25</t>
  </si>
  <si>
    <t>Jun.30-Jul.29/25</t>
  </si>
  <si>
    <t>Jun.28-Jul.27/25</t>
  </si>
  <si>
    <t>Jun.20-Jul.19/25</t>
  </si>
  <si>
    <t>Jun.4-Jul.3/25</t>
  </si>
  <si>
    <t>Jun.31-Jul.30/25</t>
  </si>
  <si>
    <t>Jun.18-Jul.17/25</t>
  </si>
  <si>
    <t>Jun.10-Jul.9/25</t>
  </si>
  <si>
    <t>Jun.21-Jul.20/25</t>
  </si>
  <si>
    <t>Jun.13-Jul.12/25</t>
  </si>
  <si>
    <t>Jun.31-Jul.29/25</t>
  </si>
  <si>
    <t>Jun.2-Jul.1/25</t>
  </si>
  <si>
    <t>Jun.25-Jul.24/25</t>
  </si>
  <si>
    <t>Jan Rosette Toledo OR#4950</t>
  </si>
  <si>
    <t>Jun.6-Jul.5/25</t>
  </si>
  <si>
    <t>June 6/25</t>
  </si>
  <si>
    <r>
      <t xml:space="preserve">Mireel Fatima Parcarey </t>
    </r>
    <r>
      <rPr>
        <sz val="8"/>
        <color rgb="FFFF0000"/>
        <rFont val="Arial"/>
        <family val="2"/>
      </rPr>
      <t>OR#4951</t>
    </r>
  </si>
  <si>
    <r>
      <t>Love Your Self (LGBT)</t>
    </r>
    <r>
      <rPr>
        <sz val="9"/>
        <color rgb="FFFF0000"/>
        <rFont val="Arial"/>
        <family val="2"/>
      </rPr>
      <t>OR#4952</t>
    </r>
  </si>
  <si>
    <r>
      <t>Love Your Self (LGBT)</t>
    </r>
    <r>
      <rPr>
        <sz val="9"/>
        <color rgb="FFFF0000"/>
        <rFont val="Arial"/>
        <family val="2"/>
      </rPr>
      <t>OR#</t>
    </r>
    <r>
      <rPr>
        <sz val="9"/>
        <color rgb="FFC00000"/>
        <rFont val="Arial"/>
        <family val="2"/>
      </rPr>
      <t>4952</t>
    </r>
  </si>
  <si>
    <r>
      <t xml:space="preserve">Hannah Faye Delos Reyes </t>
    </r>
    <r>
      <rPr>
        <sz val="8"/>
        <color rgb="FFFF0000"/>
        <rFont val="Arial"/>
        <family val="2"/>
      </rPr>
      <t>OR#4953</t>
    </r>
  </si>
  <si>
    <r>
      <t xml:space="preserve">Manuel Villamor </t>
    </r>
    <r>
      <rPr>
        <sz val="9"/>
        <color rgb="FFC00000"/>
        <rFont val="Arial"/>
        <family val="2"/>
      </rPr>
      <t>OR#4954</t>
    </r>
  </si>
  <si>
    <r>
      <t>Sandrine Jammeka Mariano</t>
    </r>
    <r>
      <rPr>
        <sz val="8"/>
        <color rgb="FFFF0000"/>
        <rFont val="Arial"/>
        <family val="2"/>
      </rPr>
      <t xml:space="preserve"> OR#4955</t>
    </r>
  </si>
  <si>
    <r>
      <t xml:space="preserve">Joan Rejuso </t>
    </r>
    <r>
      <rPr>
        <sz val="9"/>
        <color rgb="FFFF0000"/>
        <rFont val="Arial"/>
        <family val="2"/>
      </rPr>
      <t>OR#4956</t>
    </r>
  </si>
  <si>
    <r>
      <t xml:space="preserve">Guilcyn Penetrante </t>
    </r>
    <r>
      <rPr>
        <sz val="9"/>
        <color rgb="FFFF0000"/>
        <rFont val="Arial"/>
        <family val="2"/>
      </rPr>
      <t>OR4957</t>
    </r>
  </si>
  <si>
    <r>
      <t xml:space="preserve">Ron Juliene Dominguino </t>
    </r>
    <r>
      <rPr>
        <sz val="8"/>
        <color rgb="FFFF0000"/>
        <rFont val="Arial"/>
        <family val="2"/>
      </rPr>
      <t>OR#4958</t>
    </r>
  </si>
  <si>
    <r>
      <t xml:space="preserve">Alejandro Delarosa </t>
    </r>
    <r>
      <rPr>
        <sz val="9"/>
        <color rgb="FFFF0000"/>
        <rFont val="Arial"/>
        <family val="2"/>
      </rPr>
      <t>OR#4959</t>
    </r>
  </si>
  <si>
    <r>
      <t xml:space="preserve">Jade Marmol  </t>
    </r>
    <r>
      <rPr>
        <sz val="9"/>
        <color rgb="FFFF0000"/>
        <rFont val="Arial"/>
        <family val="2"/>
      </rPr>
      <t>OR#4960</t>
    </r>
  </si>
  <si>
    <r>
      <t xml:space="preserve">Balu Sandhi </t>
    </r>
    <r>
      <rPr>
        <sz val="9"/>
        <color rgb="FFFF0000"/>
        <rFont val="Arial"/>
        <family val="2"/>
      </rPr>
      <t>OR#4961</t>
    </r>
  </si>
  <si>
    <r>
      <t>France Sacueza</t>
    </r>
    <r>
      <rPr>
        <sz val="9"/>
        <color rgb="FFFF0000"/>
        <rFont val="Arial"/>
        <family val="2"/>
      </rPr>
      <t xml:space="preserve"> OR#4962</t>
    </r>
  </si>
  <si>
    <r>
      <t xml:space="preserve">Pallavi Ravichandran </t>
    </r>
    <r>
      <rPr>
        <sz val="9"/>
        <color rgb="FFFF0000"/>
        <rFont val="Arial"/>
        <family val="2"/>
      </rPr>
      <t>OR#4963</t>
    </r>
  </si>
  <si>
    <r>
      <t xml:space="preserve">Daryl Rivero </t>
    </r>
    <r>
      <rPr>
        <sz val="9"/>
        <color rgb="FFFF0000"/>
        <rFont val="Arial"/>
        <family val="2"/>
      </rPr>
      <t>OR#4964</t>
    </r>
  </si>
  <si>
    <r>
      <t xml:space="preserve">Lobby Toor </t>
    </r>
    <r>
      <rPr>
        <sz val="9"/>
        <color rgb="FFFF0000"/>
        <rFont val="Arial"/>
        <family val="2"/>
      </rPr>
      <t>OR#4965</t>
    </r>
  </si>
  <si>
    <r>
      <t xml:space="preserve">Gupreet Sigh </t>
    </r>
    <r>
      <rPr>
        <sz val="9"/>
        <color rgb="FFFF0000"/>
        <rFont val="Arial"/>
        <family val="2"/>
      </rPr>
      <t>OR#4966</t>
    </r>
  </si>
  <si>
    <r>
      <t xml:space="preserve">EJ Millare </t>
    </r>
    <r>
      <rPr>
        <sz val="9"/>
        <color rgb="FFFF0000"/>
        <rFont val="Arial"/>
        <family val="2"/>
      </rPr>
      <t>OR#4967</t>
    </r>
  </si>
  <si>
    <r>
      <t xml:space="preserve">Monica Bea Cabais </t>
    </r>
    <r>
      <rPr>
        <sz val="9"/>
        <color rgb="FFFF0000"/>
        <rFont val="Arial"/>
        <family val="2"/>
      </rPr>
      <t>OR#4968</t>
    </r>
  </si>
  <si>
    <r>
      <t xml:space="preserve">Bob Dumas </t>
    </r>
    <r>
      <rPr>
        <sz val="9"/>
        <color rgb="FFFF0000"/>
        <rFont val="Arial"/>
        <family val="2"/>
      </rPr>
      <t>OR#4969</t>
    </r>
  </si>
  <si>
    <t>Philhealth (apr,may,june 2025)</t>
  </si>
  <si>
    <t>Labor (Randy Millete)jun. 2-7</t>
  </si>
  <si>
    <t>Deposit (BDO Bank)</t>
  </si>
  <si>
    <t>FSMR payment (Rafael Saqueza)</t>
  </si>
  <si>
    <t>Legazpi Water Distric (May 2025)</t>
  </si>
  <si>
    <t>SSS ( Michelle ) May 2025</t>
  </si>
  <si>
    <t xml:space="preserve">Wilcon </t>
  </si>
  <si>
    <t>Labor ( Randy Millete)</t>
  </si>
  <si>
    <t>Wilcon</t>
  </si>
  <si>
    <t>Wilcon (big tank)</t>
  </si>
  <si>
    <t>Roche Lumber (mainhouse water pump pipe)</t>
  </si>
  <si>
    <t>Labor (Randy Millete)big tank (jun 16-19)</t>
  </si>
  <si>
    <t>Labor (Randy Millete) mainhouse pipe</t>
  </si>
  <si>
    <t>Affidavit Of Commitment (Atty. Lawenko)</t>
  </si>
  <si>
    <t>Salary (Michelle Cuario) Juneb 1-30</t>
  </si>
  <si>
    <t>JULY  2025"</t>
  </si>
  <si>
    <t>Jul.7-Aug.6/25</t>
  </si>
  <si>
    <t>Jul. 29-Aug.28/25</t>
  </si>
  <si>
    <t>Jul.26-Aug.25/25</t>
  </si>
  <si>
    <t>Jul.9-Aug.8/25</t>
  </si>
  <si>
    <t>Jul.6-Aug.5/25</t>
  </si>
  <si>
    <t>Jul.15-Aug.14/25</t>
  </si>
  <si>
    <t>Jul.3-Aug.2/25</t>
  </si>
  <si>
    <t>Jul.1-31/25</t>
  </si>
  <si>
    <t>Jul.30-Aug.29/25</t>
  </si>
  <si>
    <t>Jul.28-Aug.27/25</t>
  </si>
  <si>
    <t>Jul.20-Aug.19/25</t>
  </si>
  <si>
    <t>Jul.4-Aug.3/25</t>
  </si>
  <si>
    <t>Jul.31-Aug.30/25</t>
  </si>
  <si>
    <t>Jul.1-30/25</t>
  </si>
  <si>
    <t>Jul.18-Aug.17/25</t>
  </si>
  <si>
    <t>Jul.10-Aug.9/25</t>
  </si>
  <si>
    <t>Jul.21-Aug.20/25</t>
  </si>
  <si>
    <t>Jul.13-Aug.12/25</t>
  </si>
  <si>
    <t>Jul.31-Aug.29/25</t>
  </si>
  <si>
    <t>Jul.2-Aug.1/25</t>
  </si>
  <si>
    <t>Jul.25-Aug.24/25</t>
  </si>
  <si>
    <r>
      <t xml:space="preserve">Mireel Fatima Parcarey </t>
    </r>
    <r>
      <rPr>
        <sz val="8"/>
        <color rgb="FFFF0000"/>
        <rFont val="Arial"/>
        <family val="2"/>
      </rPr>
      <t>OR#4970</t>
    </r>
  </si>
  <si>
    <r>
      <t xml:space="preserve">Mulla Juveria </t>
    </r>
    <r>
      <rPr>
        <sz val="9"/>
        <color rgb="FFFF0000"/>
        <rFont val="Arial"/>
        <family val="2"/>
      </rPr>
      <t>OR#4971</t>
    </r>
  </si>
  <si>
    <t>Jan Rosette Toledo OR#4972</t>
  </si>
  <si>
    <r>
      <t>Sandrine Jammeka Mariano</t>
    </r>
    <r>
      <rPr>
        <sz val="8"/>
        <color rgb="FFFF0000"/>
        <rFont val="Arial"/>
        <family val="2"/>
      </rPr>
      <t xml:space="preserve"> OR#4973</t>
    </r>
  </si>
  <si>
    <r>
      <t xml:space="preserve">Hannah Faye Delos Reyes </t>
    </r>
    <r>
      <rPr>
        <sz val="8"/>
        <color rgb="FFFF0000"/>
        <rFont val="Arial"/>
        <family val="2"/>
      </rPr>
      <t>OR#4974</t>
    </r>
  </si>
  <si>
    <t xml:space="preserve">                           Jul 26/25</t>
  </si>
  <si>
    <r>
      <t xml:space="preserve">Jade Marmol  </t>
    </r>
    <r>
      <rPr>
        <sz val="9"/>
        <color rgb="FFFF0000"/>
        <rFont val="Arial"/>
        <family val="2"/>
      </rPr>
      <t>OR#4976</t>
    </r>
  </si>
  <si>
    <r>
      <t xml:space="preserve">Princess Lana Aviso </t>
    </r>
    <r>
      <rPr>
        <sz val="8"/>
        <color rgb="FFFF0000"/>
        <rFont val="Arial"/>
        <family val="2"/>
      </rPr>
      <t>OR#4975</t>
    </r>
  </si>
  <si>
    <r>
      <t xml:space="preserve">Joan Rejuso </t>
    </r>
    <r>
      <rPr>
        <sz val="9"/>
        <color rgb="FFFF0000"/>
        <rFont val="Arial"/>
        <family val="2"/>
      </rPr>
      <t>OR#4977</t>
    </r>
  </si>
  <si>
    <r>
      <t xml:space="preserve">Alejandro Delarosa </t>
    </r>
    <r>
      <rPr>
        <sz val="8"/>
        <color rgb="FFFF0000"/>
        <rFont val="Arial"/>
        <family val="2"/>
      </rPr>
      <t>OR#4978</t>
    </r>
  </si>
  <si>
    <r>
      <t xml:space="preserve">Pallavi Ravichandran </t>
    </r>
    <r>
      <rPr>
        <sz val="9"/>
        <color rgb="FFFF0000"/>
        <rFont val="Arial"/>
        <family val="2"/>
      </rPr>
      <t>OR#4979</t>
    </r>
  </si>
  <si>
    <r>
      <t xml:space="preserve">Balu Sandhi </t>
    </r>
    <r>
      <rPr>
        <sz val="9"/>
        <color rgb="FFFF0000"/>
        <rFont val="Arial"/>
        <family val="2"/>
      </rPr>
      <t>OR#4980</t>
    </r>
  </si>
  <si>
    <r>
      <t xml:space="preserve">Daryl Rivero </t>
    </r>
    <r>
      <rPr>
        <sz val="9"/>
        <color rgb="FFFF0000"/>
        <rFont val="Arial"/>
        <family val="2"/>
      </rPr>
      <t>OR#4981</t>
    </r>
  </si>
  <si>
    <r>
      <t xml:space="preserve">Bob Dumas </t>
    </r>
    <r>
      <rPr>
        <sz val="9"/>
        <color rgb="FFFF0000"/>
        <rFont val="Arial"/>
        <family val="2"/>
      </rPr>
      <t>OR#4982</t>
    </r>
  </si>
  <si>
    <r>
      <t xml:space="preserve">Mulla Juveria </t>
    </r>
    <r>
      <rPr>
        <sz val="9"/>
        <color rgb="FFFF0000"/>
        <rFont val="Arial"/>
        <family val="2"/>
      </rPr>
      <t>OR#4983</t>
    </r>
  </si>
  <si>
    <r>
      <t xml:space="preserve">EJ Millare </t>
    </r>
    <r>
      <rPr>
        <sz val="9"/>
        <color rgb="FFFF0000"/>
        <rFont val="Arial"/>
        <family val="2"/>
      </rPr>
      <t>OR#4984</t>
    </r>
  </si>
  <si>
    <r>
      <t xml:space="preserve">Ron Juliene Dominguino </t>
    </r>
    <r>
      <rPr>
        <sz val="8"/>
        <color rgb="FFFF0000"/>
        <rFont val="Arial"/>
        <family val="2"/>
      </rPr>
      <t>OR#4985</t>
    </r>
  </si>
  <si>
    <r>
      <t xml:space="preserve">Guilcyn Penetrante </t>
    </r>
    <r>
      <rPr>
        <sz val="9"/>
        <color rgb="FFFF0000"/>
        <rFont val="Arial"/>
        <family val="2"/>
      </rPr>
      <t>OR4986</t>
    </r>
  </si>
  <si>
    <r>
      <t>France Sacueza</t>
    </r>
    <r>
      <rPr>
        <sz val="9"/>
        <color rgb="FFFF0000"/>
        <rFont val="Arial"/>
        <family val="2"/>
      </rPr>
      <t xml:space="preserve"> OR#4987</t>
    </r>
  </si>
  <si>
    <r>
      <t xml:space="preserve">Lobby Toor </t>
    </r>
    <r>
      <rPr>
        <sz val="9"/>
        <color rgb="FFFF0000"/>
        <rFont val="Arial"/>
        <family val="2"/>
      </rPr>
      <t>OR#4988</t>
    </r>
  </si>
  <si>
    <r>
      <t xml:space="preserve">Monica Bea Cabais </t>
    </r>
    <r>
      <rPr>
        <sz val="9"/>
        <color rgb="FFFF0000"/>
        <rFont val="Arial"/>
        <family val="2"/>
      </rPr>
      <t>OR#4989</t>
    </r>
  </si>
  <si>
    <r>
      <t xml:space="preserve">Gupreet Sigh </t>
    </r>
    <r>
      <rPr>
        <sz val="9"/>
        <color rgb="FFFF0000"/>
        <rFont val="Arial"/>
        <family val="2"/>
      </rPr>
      <t>OR#4992</t>
    </r>
  </si>
  <si>
    <r>
      <t xml:space="preserve">Manuel Villamor </t>
    </r>
    <r>
      <rPr>
        <sz val="9"/>
        <color rgb="FFC00000"/>
        <rFont val="Arial"/>
        <family val="2"/>
      </rPr>
      <t>OR#4993</t>
    </r>
  </si>
  <si>
    <t>Princess Nicole   Nimay</t>
  </si>
  <si>
    <t>AUGUST  2025"</t>
  </si>
  <si>
    <t>Aug.7-Sep.6/25</t>
  </si>
  <si>
    <t>Aug. 29-Sep.28/25</t>
  </si>
  <si>
    <t>Aug.26-Sep.25/25</t>
  </si>
  <si>
    <t>Aug.9-Sep.8/25</t>
  </si>
  <si>
    <t>Aug.1-30/25</t>
  </si>
  <si>
    <t>Aug.2-Sep.1/25</t>
  </si>
  <si>
    <t>Aug.15-Sep.14/25</t>
  </si>
  <si>
    <t>Aug.31-Sep.29/25</t>
  </si>
  <si>
    <t>Aug.13-Sep.12/25</t>
  </si>
  <si>
    <t>Aug.3-Sep.2/25</t>
  </si>
  <si>
    <t>Aug.21-Sep.20/25</t>
  </si>
  <si>
    <t>Aug.10-Sep.9/25</t>
  </si>
  <si>
    <t>Aug.18-Sep.17/25</t>
  </si>
  <si>
    <r>
      <t xml:space="preserve">Mireel Fatima Parcarey </t>
    </r>
    <r>
      <rPr>
        <sz val="8"/>
        <color rgb="FFFF0000"/>
        <rFont val="Arial"/>
        <family val="2"/>
      </rPr>
      <t>OR#4990</t>
    </r>
  </si>
  <si>
    <t>Aug.31-Sep.30/25</t>
  </si>
  <si>
    <t>Aug.4-Sep.3/25</t>
  </si>
  <si>
    <t>Aug.28-Sep.27/25</t>
  </si>
  <si>
    <t>Aug.1-31/25</t>
  </si>
  <si>
    <t>Aug.3-Sep. 2/25</t>
  </si>
  <si>
    <r>
      <t>Sandrine Jammeka Mariano</t>
    </r>
    <r>
      <rPr>
        <sz val="8"/>
        <color rgb="FFFF0000"/>
        <rFont val="Arial"/>
        <family val="2"/>
      </rPr>
      <t xml:space="preserve"> OR#4991</t>
    </r>
  </si>
  <si>
    <r>
      <t xml:space="preserve">Princess Lana Aviso </t>
    </r>
    <r>
      <rPr>
        <sz val="8"/>
        <color rgb="FFFF0000"/>
        <rFont val="Arial"/>
        <family val="2"/>
      </rPr>
      <t>OR#4994</t>
    </r>
  </si>
  <si>
    <r>
      <t xml:space="preserve">Alejandro Delarosa </t>
    </r>
    <r>
      <rPr>
        <sz val="8"/>
        <color rgb="FFFF0000"/>
        <rFont val="Arial"/>
        <family val="2"/>
      </rPr>
      <t>OR#4995</t>
    </r>
  </si>
  <si>
    <r>
      <rPr>
        <sz val="8"/>
        <rFont val="Arial"/>
        <family val="2"/>
      </rPr>
      <t>Alberto Mestiola</t>
    </r>
    <r>
      <rPr>
        <sz val="8"/>
        <color rgb="FFFF0000"/>
        <rFont val="Arial"/>
        <family val="2"/>
      </rPr>
      <t xml:space="preserve"> OR#4999</t>
    </r>
  </si>
  <si>
    <t>Aug28-Sep.27/25</t>
  </si>
  <si>
    <t>Aug28/25</t>
  </si>
  <si>
    <r>
      <t xml:space="preserve">Hannah Faye Delos Reyes </t>
    </r>
    <r>
      <rPr>
        <sz val="8"/>
        <color rgb="FFFF0000"/>
        <rFont val="Arial"/>
        <family val="2"/>
      </rPr>
      <t>OR#5000</t>
    </r>
  </si>
  <si>
    <r>
      <t xml:space="preserve">Pallavi Ravichandran </t>
    </r>
    <r>
      <rPr>
        <sz val="8"/>
        <color rgb="FFFF0000"/>
        <rFont val="Arial"/>
        <family val="2"/>
      </rPr>
      <t>OR#4997</t>
    </r>
  </si>
  <si>
    <r>
      <t xml:space="preserve">Jade Marmol  </t>
    </r>
    <r>
      <rPr>
        <sz val="8"/>
        <color rgb="FFFF0000"/>
        <rFont val="Arial"/>
        <family val="2"/>
      </rPr>
      <t>OR#4996</t>
    </r>
  </si>
  <si>
    <r>
      <t xml:space="preserve">Daryl Rivero </t>
    </r>
    <r>
      <rPr>
        <sz val="8"/>
        <color rgb="FFFF0000"/>
        <rFont val="Arial"/>
        <family val="2"/>
      </rPr>
      <t>OR#4998</t>
    </r>
  </si>
  <si>
    <t>Aug.25-Sep.24/25</t>
  </si>
  <si>
    <t>Jetti (genset)</t>
  </si>
  <si>
    <t>Electricbill (June 25")</t>
  </si>
  <si>
    <t xml:space="preserve">Prinzelle </t>
  </si>
  <si>
    <t>Legazpi Water Distric (June 25)</t>
  </si>
  <si>
    <t>affidavit Of Undertaking (Atty. Lawenko)</t>
  </si>
  <si>
    <t>Labor (Randy (july 14-16)3g</t>
  </si>
  <si>
    <t>Labor (Randy  jul 17)</t>
  </si>
  <si>
    <t>Wilcon cemetary</t>
  </si>
  <si>
    <t>SSS (Michelle)June 25</t>
  </si>
  <si>
    <t>Wilcon (cemetary)</t>
  </si>
  <si>
    <t>Western Union Linda (500$)</t>
  </si>
  <si>
    <t>Jetti (gaz)</t>
  </si>
  <si>
    <t>Labor (Randy)jul.21-23 (cemetary)</t>
  </si>
  <si>
    <t>Labor (Randy)jul.24-26)mainhouse</t>
  </si>
  <si>
    <t>Cheyenne Construction (mainhouse)</t>
  </si>
  <si>
    <t>RJ &amp;E  tire Supply</t>
  </si>
  <si>
    <t>Weserve 360 corp. (change oil)vios</t>
  </si>
  <si>
    <t>Imperial Appliance plaza (aircon/microweb)</t>
  </si>
  <si>
    <t>Yasno Mall (luz int)</t>
  </si>
  <si>
    <t>Legazpi Republic (luz int.)</t>
  </si>
  <si>
    <t>Meat (luz int.)</t>
  </si>
  <si>
    <t>Lapida (luz int.)</t>
  </si>
  <si>
    <t>Picture (luz int.)</t>
  </si>
  <si>
    <t>BDO (mean dino) luz int.)</t>
  </si>
  <si>
    <t>Daflair Tailoring (Luz int.)</t>
  </si>
  <si>
    <t>Brent Gas (mainhouse gas) (luz int.)</t>
  </si>
  <si>
    <t>Bicol Memorial (luz int.)</t>
  </si>
  <si>
    <t>Beef (Luz int)</t>
  </si>
  <si>
    <t>Market (luz int)</t>
  </si>
  <si>
    <t>Flower (luz int)</t>
  </si>
  <si>
    <t>Salary (Jul.1-31) Michelle Cuario</t>
  </si>
  <si>
    <t>Electricbill (July 25)</t>
  </si>
  <si>
    <t>Hong Enterprises (luz int.)</t>
  </si>
  <si>
    <t>Metro Legazpi (Luz int)</t>
  </si>
  <si>
    <t>crab sugpo,market ,(luz int)</t>
  </si>
  <si>
    <t>Gallego (pebbles)luz int.</t>
  </si>
  <si>
    <t>x-Rox (luz int)</t>
  </si>
  <si>
    <t>manggo (luz int.)</t>
  </si>
  <si>
    <t>coke (luz int.)</t>
  </si>
  <si>
    <t>Lapida (luz int.) repair</t>
  </si>
  <si>
    <t>Salary (Randy Millete) july 30-aug-2 mh</t>
  </si>
  <si>
    <t>Haircuter (fe,linda)</t>
  </si>
  <si>
    <t>LCC Express (luz int)</t>
  </si>
  <si>
    <t>kakanin</t>
  </si>
  <si>
    <t>water</t>
  </si>
  <si>
    <t>jetti (gaz)</t>
  </si>
  <si>
    <t>523 incorp. (luz int)</t>
  </si>
  <si>
    <t xml:space="preserve">Savory Fastfood </t>
  </si>
  <si>
    <t>Palamigan</t>
  </si>
  <si>
    <t>Labor (gloria millete)(luz int.)</t>
  </si>
  <si>
    <t>Lydia Millete (luz int.)</t>
  </si>
  <si>
    <t>Angie (luz int.)</t>
  </si>
  <si>
    <t>Angeles (luz int.)</t>
  </si>
  <si>
    <t>Rosa (luz int)</t>
  </si>
  <si>
    <t>Priest  (luz int)</t>
  </si>
  <si>
    <t>Randy (luz int)</t>
  </si>
  <si>
    <t>Puregold</t>
  </si>
  <si>
    <t>Legazpi Water Distric (july)</t>
  </si>
  <si>
    <t xml:space="preserve">Misibis bay </t>
  </si>
  <si>
    <t>Fikka Coffee</t>
  </si>
  <si>
    <t>Jetti Gaz</t>
  </si>
  <si>
    <t>Prinzelle Trading (1f)</t>
  </si>
  <si>
    <t>J Emmauel Pastries</t>
  </si>
  <si>
    <t>Jetti gaz</t>
  </si>
  <si>
    <t>Labor (Randy  Millete )1f</t>
  </si>
  <si>
    <t xml:space="preserve">Market </t>
  </si>
  <si>
    <t>LCC Department Store</t>
  </si>
  <si>
    <t>Linda Western Union (250$)</t>
  </si>
  <si>
    <t>Lucky Educational Supply</t>
  </si>
  <si>
    <t>Weserve 360 corp. (vios Repair)</t>
  </si>
  <si>
    <t>Wilcon (tiles mainhouse) dis.15,457.50</t>
  </si>
  <si>
    <t>Money given by ate fe to cuario family</t>
  </si>
  <si>
    <t>Money credit by ate linda</t>
  </si>
  <si>
    <t>Fe ticket to Manila</t>
  </si>
  <si>
    <t>Linda ticket to manila</t>
  </si>
  <si>
    <t>Market (fe)</t>
  </si>
  <si>
    <t>LCC Supermarket (luz int.)</t>
  </si>
  <si>
    <t>Sherwin Markiteng (screen )</t>
  </si>
  <si>
    <t>Rotex (vios repair)</t>
  </si>
  <si>
    <t>Weatherhead marketing (vios repair)</t>
  </si>
  <si>
    <t>Jomar Granadillos labor</t>
  </si>
  <si>
    <t>Christian (luz int)</t>
  </si>
  <si>
    <t>Atty.Busadre (SPA)</t>
  </si>
  <si>
    <t xml:space="preserve">Labor (Randy Millete)aug.11-16 </t>
  </si>
  <si>
    <t xml:space="preserve">Aqualife </t>
  </si>
  <si>
    <t>Snacks dried fish</t>
  </si>
  <si>
    <t>Triple Fortune Hardware (mainhouse)</t>
  </si>
  <si>
    <t>Triple H Hardware</t>
  </si>
  <si>
    <t>Foursome Trading (vios)</t>
  </si>
  <si>
    <t>Uya Enterprises</t>
  </si>
  <si>
    <t>Coke</t>
  </si>
  <si>
    <t>A.Costa Enterprises ( mainhouse sofa)</t>
  </si>
  <si>
    <t>Martin advance (mainhouse sofa)</t>
  </si>
  <si>
    <t>Prinzelle Trading (mh)</t>
  </si>
  <si>
    <t>Triple H Hardware (mh)</t>
  </si>
  <si>
    <t>Metro Legazpi (fe)</t>
  </si>
  <si>
    <t>Saverite</t>
  </si>
  <si>
    <t>Wilcon (mainhouse)</t>
  </si>
  <si>
    <t>Steak Escape</t>
  </si>
  <si>
    <t>Costa Enterprrises (mh sofa)</t>
  </si>
  <si>
    <t>Al-sur Trading</t>
  </si>
  <si>
    <t xml:space="preserve">Green wich </t>
  </si>
  <si>
    <t xml:space="preserve">Hong Enterprises </t>
  </si>
  <si>
    <t>Transportation</t>
  </si>
  <si>
    <t>SPA (linda misibis)</t>
  </si>
  <si>
    <t>Payroll (aug.18-23)mainhouse</t>
  </si>
  <si>
    <t>Angeles  Millete</t>
  </si>
  <si>
    <t>Bernardo Millete</t>
  </si>
  <si>
    <t>Randy Millete</t>
  </si>
  <si>
    <t>Guillermo Millete</t>
  </si>
  <si>
    <t>Ariel Non</t>
  </si>
  <si>
    <t>Mhenard Naag</t>
  </si>
  <si>
    <t>Cleaning</t>
  </si>
  <si>
    <t>Lydia Millete</t>
  </si>
  <si>
    <t xml:space="preserve">Angie </t>
  </si>
  <si>
    <t>Rosa</t>
  </si>
  <si>
    <t>Chrisha</t>
  </si>
  <si>
    <t>Tilad pili</t>
  </si>
  <si>
    <t>Brent gaz</t>
  </si>
  <si>
    <t>Money given to fe going to manila</t>
  </si>
  <si>
    <t>Cocolumber</t>
  </si>
  <si>
    <t>discount (21,049.63)</t>
  </si>
  <si>
    <t>Wilcon Depot (mh roof tiles)105,247.32</t>
  </si>
  <si>
    <t>Payroll (aug.25-30)mainhouse</t>
  </si>
  <si>
    <t>Angeles Millete</t>
  </si>
  <si>
    <t>Angie</t>
  </si>
  <si>
    <t>Mean Millete</t>
  </si>
  <si>
    <t>Yey Enterprises</t>
  </si>
  <si>
    <t>Market (party)</t>
  </si>
  <si>
    <t>Dads Pinangat</t>
  </si>
  <si>
    <t>Paso deposit putsan</t>
  </si>
  <si>
    <t>Electric Repair</t>
  </si>
  <si>
    <t>Salary (Aug.1-30) Michelle Cuario</t>
  </si>
  <si>
    <t>SSS (Michelle)July 25</t>
  </si>
  <si>
    <t>Market (party fe)</t>
  </si>
  <si>
    <t>NPJ Corporation</t>
  </si>
  <si>
    <t>Late record (Luz Share)</t>
  </si>
  <si>
    <t>Electric bill (Aug.25)</t>
  </si>
  <si>
    <t>Jetti</t>
  </si>
  <si>
    <t>BIR Payment Form (0605) misibis</t>
  </si>
  <si>
    <t>Capital Gain Taxes 1706 (misibis)</t>
  </si>
  <si>
    <t>Documentary Stamp</t>
  </si>
  <si>
    <t>X-Rox (misibis)</t>
  </si>
  <si>
    <t>Doc Stamp (misibis)</t>
  </si>
  <si>
    <t>Tax Dec.Misibis</t>
  </si>
  <si>
    <t>Certification No Emprovement (misibis)</t>
  </si>
  <si>
    <t>Certified True Copy (misibis)</t>
  </si>
  <si>
    <t>Certification Of Confirmation (misibis)</t>
  </si>
  <si>
    <t>Martin Labor Sofa Repair</t>
  </si>
  <si>
    <t>Material Sofa Costa Enterprizes</t>
  </si>
  <si>
    <t>Philhealth (jul,aug,sep. 2025)</t>
  </si>
  <si>
    <t>Al-Sur Trading</t>
  </si>
  <si>
    <t>Payroll (sep.1-6)</t>
  </si>
  <si>
    <t>Randy Millete (unit 2b)</t>
  </si>
  <si>
    <t>Edwin Naag</t>
  </si>
  <si>
    <t>Converge Enternit</t>
  </si>
  <si>
    <t>Legazpi Water Distric (Aug.25)</t>
  </si>
  <si>
    <t>Martin Advance (mainhouse bed)</t>
  </si>
  <si>
    <t>Win - Flex Marketing</t>
  </si>
  <si>
    <t>Western Union Linda (200$)</t>
  </si>
  <si>
    <t>Martin Labor (beds Repair)</t>
  </si>
  <si>
    <t>Almine Glass And aluminum</t>
  </si>
  <si>
    <t>Payroll (sep.8-13)</t>
  </si>
  <si>
    <t>Randy Millete (1h)</t>
  </si>
  <si>
    <t>Jeffrey Bernardo</t>
  </si>
  <si>
    <t>Labor Martin (beds)</t>
  </si>
  <si>
    <t xml:space="preserve">Paso </t>
  </si>
  <si>
    <t>Paso bottom</t>
  </si>
  <si>
    <t>Saverite (mh Pump)</t>
  </si>
  <si>
    <t xml:space="preserve">Jetti </t>
  </si>
  <si>
    <t>Manson Hardware (pump mh)</t>
  </si>
  <si>
    <t>Payroll Sep.15-20</t>
  </si>
  <si>
    <t>DAB Power Tools (mh Pump)</t>
  </si>
  <si>
    <t>Paso</t>
  </si>
  <si>
    <t>Bellesa Fuel</t>
  </si>
  <si>
    <t>Alvin Repair Shop (barina)</t>
  </si>
  <si>
    <t>Jetti (genset gaz)</t>
  </si>
  <si>
    <t>SSS (Michelle)Aug25</t>
  </si>
  <si>
    <t>Weserve 360 vios repair</t>
  </si>
  <si>
    <t>Payroll (Sep.22-27)</t>
  </si>
  <si>
    <t>Ronel Millete</t>
  </si>
  <si>
    <t>Malboro 2 rim</t>
  </si>
  <si>
    <t xml:space="preserve">Wilcon Depot (note less refund 11,457 </t>
  </si>
  <si>
    <t>total 29,354.49 discount 5,778.03)</t>
  </si>
  <si>
    <t>Salary (Sep.1-30) Michelle Cuario</t>
  </si>
  <si>
    <t>Sep.7-Oct.6/25</t>
  </si>
  <si>
    <t>Sep. 29-Oct.28/25</t>
  </si>
  <si>
    <t>Sep.26-Oct.25/25</t>
  </si>
  <si>
    <t>Sep.9-Oct.8/25</t>
  </si>
  <si>
    <t>Sep.28-Oct.27/25</t>
  </si>
  <si>
    <t>Sep.15-Oct.14/25</t>
  </si>
  <si>
    <r>
      <t>Ron Juliene Dominguino</t>
    </r>
    <r>
      <rPr>
        <sz val="8"/>
        <color rgb="FFFF0000"/>
        <rFont val="Arial"/>
        <family val="2"/>
      </rPr>
      <t xml:space="preserve"> OR#5001</t>
    </r>
  </si>
  <si>
    <r>
      <t xml:space="preserve">Balu Sandhi </t>
    </r>
    <r>
      <rPr>
        <sz val="9"/>
        <color rgb="FFFF0000"/>
        <rFont val="Arial"/>
        <family val="2"/>
      </rPr>
      <t>OR#5002</t>
    </r>
  </si>
  <si>
    <r>
      <t xml:space="preserve">Joan Rejuso </t>
    </r>
    <r>
      <rPr>
        <sz val="9"/>
        <color rgb="FFFF0000"/>
        <rFont val="Arial"/>
        <family val="2"/>
      </rPr>
      <t>OR#5003</t>
    </r>
  </si>
  <si>
    <r>
      <t xml:space="preserve">Bob Dumas </t>
    </r>
    <r>
      <rPr>
        <sz val="9"/>
        <color rgb="FFFF0000"/>
        <rFont val="Arial"/>
        <family val="2"/>
      </rPr>
      <t>OR#5004</t>
    </r>
  </si>
  <si>
    <r>
      <t xml:space="preserve">Monica Bea Cabais </t>
    </r>
    <r>
      <rPr>
        <sz val="9"/>
        <color rgb="FFFF0000"/>
        <rFont val="Arial"/>
        <family val="2"/>
      </rPr>
      <t>OR#5005</t>
    </r>
  </si>
  <si>
    <r>
      <t xml:space="preserve">EJ Millare </t>
    </r>
    <r>
      <rPr>
        <sz val="9"/>
        <color rgb="FFFF0000"/>
        <rFont val="Arial"/>
        <family val="2"/>
      </rPr>
      <t>OR#5006</t>
    </r>
  </si>
  <si>
    <r>
      <t xml:space="preserve">Mulla Juveria </t>
    </r>
    <r>
      <rPr>
        <sz val="9"/>
        <color rgb="FFFF0000"/>
        <rFont val="Arial"/>
        <family val="2"/>
      </rPr>
      <t>OR#5007</t>
    </r>
  </si>
  <si>
    <r>
      <t>Sandrine Jammeka Mariano</t>
    </r>
    <r>
      <rPr>
        <sz val="8"/>
        <color rgb="FFFF0000"/>
        <rFont val="Arial"/>
        <family val="2"/>
      </rPr>
      <t xml:space="preserve"> OR#5008</t>
    </r>
  </si>
  <si>
    <r>
      <t xml:space="preserve">Lobby Toor </t>
    </r>
    <r>
      <rPr>
        <sz val="8"/>
        <color rgb="FFFF0000"/>
        <rFont val="Arial"/>
        <family val="2"/>
      </rPr>
      <t>OR#5009</t>
    </r>
  </si>
  <si>
    <r>
      <t>France Sacueza</t>
    </r>
    <r>
      <rPr>
        <sz val="9"/>
        <color rgb="FFFF0000"/>
        <rFont val="Arial"/>
        <family val="2"/>
      </rPr>
      <t xml:space="preserve"> OR#5010</t>
    </r>
  </si>
  <si>
    <r>
      <t xml:space="preserve">Gupreet Sigh </t>
    </r>
    <r>
      <rPr>
        <sz val="9"/>
        <color rgb="FFFF0000"/>
        <rFont val="Arial"/>
        <family val="2"/>
      </rPr>
      <t>OR#5011</t>
    </r>
  </si>
  <si>
    <r>
      <t xml:space="preserve">Mireel Fatima Parcarey </t>
    </r>
    <r>
      <rPr>
        <sz val="8"/>
        <color rgb="FFFF0000"/>
        <rFont val="Arial"/>
        <family val="2"/>
      </rPr>
      <t>OR#5012</t>
    </r>
  </si>
  <si>
    <t>Sep.1-30/25</t>
  </si>
  <si>
    <r>
      <t xml:space="preserve">Joan Rejuso </t>
    </r>
    <r>
      <rPr>
        <sz val="9"/>
        <color rgb="FFFF0000"/>
        <rFont val="Arial"/>
        <family val="2"/>
      </rPr>
      <t>OR#5013</t>
    </r>
  </si>
  <si>
    <r>
      <t xml:space="preserve">Ron Juliene Dominguino </t>
    </r>
    <r>
      <rPr>
        <sz val="8"/>
        <color rgb="FFFF0000"/>
        <rFont val="Arial"/>
        <family val="2"/>
      </rPr>
      <t>OR#5014</t>
    </r>
  </si>
  <si>
    <r>
      <t xml:space="preserve">Alejandro Delarosa </t>
    </r>
    <r>
      <rPr>
        <sz val="8"/>
        <color rgb="FFFF0000"/>
        <rFont val="Arial"/>
        <family val="2"/>
      </rPr>
      <t>OR#5015</t>
    </r>
  </si>
  <si>
    <r>
      <t xml:space="preserve">Balu Sandhi </t>
    </r>
    <r>
      <rPr>
        <sz val="9"/>
        <color rgb="FFFF0000"/>
        <rFont val="Arial"/>
        <family val="2"/>
      </rPr>
      <t>OR#5016</t>
    </r>
  </si>
  <si>
    <r>
      <t xml:space="preserve">Pallavi Ravichandran </t>
    </r>
    <r>
      <rPr>
        <sz val="8"/>
        <color rgb="FFFF0000"/>
        <rFont val="Arial"/>
        <family val="2"/>
      </rPr>
      <t>OR#5017</t>
    </r>
  </si>
  <si>
    <t>Sep.18-Oct.17/25</t>
  </si>
  <si>
    <r>
      <t>France Sacueza</t>
    </r>
    <r>
      <rPr>
        <sz val="9"/>
        <color rgb="FFFF0000"/>
        <rFont val="Arial"/>
        <family val="2"/>
      </rPr>
      <t xml:space="preserve"> OR#5018</t>
    </r>
  </si>
  <si>
    <r>
      <t xml:space="preserve">EJ Millare </t>
    </r>
    <r>
      <rPr>
        <sz val="9"/>
        <color rgb="FFFF0000"/>
        <rFont val="Arial"/>
        <family val="2"/>
      </rPr>
      <t>OR#5019</t>
    </r>
  </si>
  <si>
    <r>
      <t xml:space="preserve">Jade Marmol  </t>
    </r>
    <r>
      <rPr>
        <sz val="8"/>
        <color rgb="FFFF0000"/>
        <rFont val="Arial"/>
        <family val="2"/>
      </rPr>
      <t>OR#5020</t>
    </r>
  </si>
  <si>
    <r>
      <t xml:space="preserve">Princess Lana Aviso </t>
    </r>
    <r>
      <rPr>
        <sz val="8"/>
        <color rgb="FFFF0000"/>
        <rFont val="Arial"/>
        <family val="2"/>
      </rPr>
      <t>OR#5021</t>
    </r>
  </si>
  <si>
    <r>
      <rPr>
        <sz val="8"/>
        <rFont val="Arial"/>
        <family val="2"/>
      </rPr>
      <t>Alberto Mestiola</t>
    </r>
    <r>
      <rPr>
        <sz val="8"/>
        <color rgb="FFFF0000"/>
        <rFont val="Arial"/>
        <family val="2"/>
      </rPr>
      <t xml:space="preserve"> OR#5022</t>
    </r>
  </si>
  <si>
    <r>
      <t xml:space="preserve">Daryl Rivero </t>
    </r>
    <r>
      <rPr>
        <sz val="8"/>
        <color rgb="FFFF0000"/>
        <rFont val="Arial"/>
        <family val="2"/>
      </rPr>
      <t>OR#5023</t>
    </r>
  </si>
  <si>
    <r>
      <t xml:space="preserve">Bob Dumas </t>
    </r>
    <r>
      <rPr>
        <sz val="9"/>
        <color rgb="FFFF0000"/>
        <rFont val="Arial"/>
        <family val="2"/>
      </rPr>
      <t>OR#5024</t>
    </r>
  </si>
  <si>
    <t>Sep.31-Oct.30/25</t>
  </si>
  <si>
    <r>
      <t xml:space="preserve">Monica Bea Cabais </t>
    </r>
    <r>
      <rPr>
        <sz val="9"/>
        <color rgb="FFFF0000"/>
        <rFont val="Arial"/>
        <family val="2"/>
      </rPr>
      <t>OR#5025</t>
    </r>
  </si>
  <si>
    <r>
      <t xml:space="preserve">Lobby Toor </t>
    </r>
    <r>
      <rPr>
        <sz val="8"/>
        <color rgb="FFFF0000"/>
        <rFont val="Arial"/>
        <family val="2"/>
      </rPr>
      <t>OR#5026</t>
    </r>
  </si>
  <si>
    <t>Sep.4-Oct.3/25</t>
  </si>
  <si>
    <t>Sep.2-Oct.1/25</t>
  </si>
  <si>
    <t>Sep.31-Oct..29/25</t>
  </si>
  <si>
    <t>Sep.10-Oct.9/25</t>
  </si>
  <si>
    <t>Sep.3-Oct.2/25</t>
  </si>
  <si>
    <t>Joecel Royo</t>
  </si>
  <si>
    <t>Sep.21-Oct.20/25</t>
  </si>
  <si>
    <t>Sep.25-Oct.24/25</t>
  </si>
  <si>
    <t>Sep.13-Oct.12/25</t>
  </si>
  <si>
    <r>
      <t xml:space="preserve">Gupreet Sigh </t>
    </r>
    <r>
      <rPr>
        <sz val="9"/>
        <color rgb="FFFF0000"/>
        <rFont val="Arial"/>
        <family val="2"/>
      </rPr>
      <t>OR#5029</t>
    </r>
  </si>
  <si>
    <t>Oct.7-Nov.6/25</t>
  </si>
  <si>
    <t>Oct. 29-Nov.28/25</t>
  </si>
  <si>
    <t>Oct.26-Nov.25/25</t>
  </si>
  <si>
    <t>Oct.9-Nov.8/25</t>
  </si>
  <si>
    <t>Oct.28-Nov.27/25</t>
  </si>
  <si>
    <t>Oct.15-Nov.14/25</t>
  </si>
  <si>
    <t>Oct.1-31/25</t>
  </si>
  <si>
    <t>Oct.4-Nov.3/25</t>
  </si>
  <si>
    <t>Oct.31-Nov.30/25</t>
  </si>
  <si>
    <t>Oct.18-Nov.17/25</t>
  </si>
  <si>
    <t>Oct.10-Nov.9/25</t>
  </si>
  <si>
    <t>Oct.21-Nov.20/25</t>
  </si>
  <si>
    <t>Oct.3-Nov.2/25</t>
  </si>
  <si>
    <t>Oct.31-Nov.29/25</t>
  </si>
  <si>
    <t>Oct.2-Nov.1/25</t>
  </si>
  <si>
    <t>Oct.13-Nov.12/25</t>
  </si>
  <si>
    <t>Oct.25-Nov.24/25</t>
  </si>
  <si>
    <r>
      <t xml:space="preserve">Mireel Fatima Parcarey </t>
    </r>
    <r>
      <rPr>
        <sz val="8"/>
        <color rgb="FFFF0000"/>
        <rFont val="Arial"/>
        <family val="2"/>
      </rPr>
      <t>OR#5027</t>
    </r>
  </si>
  <si>
    <r>
      <t xml:space="preserve">Nikki Prollamante </t>
    </r>
    <r>
      <rPr>
        <sz val="9"/>
        <color rgb="FFFF0000"/>
        <rFont val="Arial"/>
        <family val="2"/>
      </rPr>
      <t>OR#5028</t>
    </r>
  </si>
  <si>
    <t>Oct.10/25</t>
  </si>
  <si>
    <r>
      <t>Sandrine Jammeka Mariano</t>
    </r>
    <r>
      <rPr>
        <sz val="8"/>
        <color rgb="FFFF0000"/>
        <rFont val="Arial"/>
        <family val="2"/>
      </rPr>
      <t xml:space="preserve"> OR#5030</t>
    </r>
  </si>
  <si>
    <r>
      <t xml:space="preserve">Princess Lana Aviso </t>
    </r>
    <r>
      <rPr>
        <sz val="8"/>
        <color rgb="FFFF0000"/>
        <rFont val="Arial"/>
        <family val="2"/>
      </rPr>
      <t>OR#5031</t>
    </r>
  </si>
  <si>
    <r>
      <t xml:space="preserve">Jade Marmol  </t>
    </r>
    <r>
      <rPr>
        <sz val="8"/>
        <color rgb="FFFF0000"/>
        <rFont val="Arial"/>
        <family val="2"/>
      </rPr>
      <t>OR#5032</t>
    </r>
  </si>
  <si>
    <r>
      <t xml:space="preserve">Daryl Rivero </t>
    </r>
    <r>
      <rPr>
        <sz val="8"/>
        <color rgb="FFFF0000"/>
        <rFont val="Arial"/>
        <family val="2"/>
      </rPr>
      <t>OR#5033</t>
    </r>
  </si>
  <si>
    <r>
      <t xml:space="preserve">Alejandro Delarosa </t>
    </r>
    <r>
      <rPr>
        <sz val="8"/>
        <color rgb="FFFF0000"/>
        <rFont val="Arial"/>
        <family val="2"/>
      </rPr>
      <t>OR#5034</t>
    </r>
  </si>
  <si>
    <r>
      <t>France Sacueza</t>
    </r>
    <r>
      <rPr>
        <sz val="9"/>
        <color rgb="FFFF0000"/>
        <rFont val="Arial"/>
        <family val="2"/>
      </rPr>
      <t xml:space="preserve"> OR#5035</t>
    </r>
  </si>
  <si>
    <r>
      <t xml:space="preserve">Balu Sandhi </t>
    </r>
    <r>
      <rPr>
        <sz val="9"/>
        <color rgb="FFFF0000"/>
        <rFont val="Arial"/>
        <family val="2"/>
      </rPr>
      <t>OR#5036</t>
    </r>
  </si>
  <si>
    <r>
      <t xml:space="preserve">Vim Diano </t>
    </r>
    <r>
      <rPr>
        <sz val="9"/>
        <color rgb="FFC00000"/>
        <rFont val="Arial"/>
        <family val="2"/>
      </rPr>
      <t>OR#5037</t>
    </r>
  </si>
  <si>
    <t>Oct.31/25</t>
  </si>
  <si>
    <r>
      <t>4bs Non-Specialized trading</t>
    </r>
    <r>
      <rPr>
        <sz val="8"/>
        <color rgb="FFC00000"/>
        <rFont val="Arial"/>
        <family val="2"/>
      </rPr>
      <t>OR#5038</t>
    </r>
  </si>
  <si>
    <r>
      <t xml:space="preserve">Ron Juliene Dominguino </t>
    </r>
    <r>
      <rPr>
        <sz val="8"/>
        <color rgb="FFFF0000"/>
        <rFont val="Arial"/>
        <family val="2"/>
      </rPr>
      <t>OR#5039</t>
    </r>
  </si>
  <si>
    <r>
      <t xml:space="preserve">EJ Millare </t>
    </r>
    <r>
      <rPr>
        <sz val="9"/>
        <color rgb="FFFF0000"/>
        <rFont val="Arial"/>
        <family val="2"/>
      </rPr>
      <t>OR#5041</t>
    </r>
  </si>
  <si>
    <r>
      <t xml:space="preserve">Joan Rejuso </t>
    </r>
    <r>
      <rPr>
        <sz val="9"/>
        <color rgb="FFFF0000"/>
        <rFont val="Arial"/>
        <family val="2"/>
      </rPr>
      <t>OR#5040</t>
    </r>
  </si>
  <si>
    <r>
      <t xml:space="preserve">Pallavi Ravichandran </t>
    </r>
    <r>
      <rPr>
        <sz val="8"/>
        <color rgb="FFFF0000"/>
        <rFont val="Arial"/>
        <family val="2"/>
      </rPr>
      <t>OR#5042</t>
    </r>
  </si>
  <si>
    <r>
      <rPr>
        <sz val="8"/>
        <rFont val="Arial"/>
        <family val="2"/>
      </rPr>
      <t>Alberto Mestiola</t>
    </r>
    <r>
      <rPr>
        <sz val="8"/>
        <color rgb="FFFF0000"/>
        <rFont val="Arial"/>
        <family val="2"/>
      </rPr>
      <t xml:space="preserve"> OR#5043</t>
    </r>
  </si>
  <si>
    <r>
      <t xml:space="preserve">Bob Dumas </t>
    </r>
    <r>
      <rPr>
        <sz val="9"/>
        <color rgb="FFFF0000"/>
        <rFont val="Arial"/>
        <family val="2"/>
      </rPr>
      <t>OR#5045</t>
    </r>
  </si>
  <si>
    <r>
      <t xml:space="preserve">Lobby Toor </t>
    </r>
    <r>
      <rPr>
        <sz val="8"/>
        <color rgb="FFFF0000"/>
        <rFont val="Arial"/>
        <family val="2"/>
      </rPr>
      <t>OR#5046</t>
    </r>
  </si>
  <si>
    <r>
      <t xml:space="preserve">Monica Bea Cabais </t>
    </r>
    <r>
      <rPr>
        <sz val="9"/>
        <color rgb="FFFF0000"/>
        <rFont val="Arial"/>
        <family val="2"/>
      </rPr>
      <t>OR#5048</t>
    </r>
  </si>
  <si>
    <r>
      <t xml:space="preserve">Gupreet Sigh </t>
    </r>
    <r>
      <rPr>
        <sz val="9"/>
        <color rgb="FFFF0000"/>
        <rFont val="Arial"/>
        <family val="2"/>
      </rPr>
      <t>OR#5049</t>
    </r>
  </si>
  <si>
    <t>Hanilav Mora</t>
  </si>
  <si>
    <t>Oct.15/25</t>
  </si>
  <si>
    <t xml:space="preserve">OCTOBER </t>
  </si>
  <si>
    <t>Cheyenne Construction  (3d)</t>
  </si>
  <si>
    <t>Legazpi Water Distric (Sep.2025)</t>
  </si>
  <si>
    <t>Electric bill (Sep.25)</t>
  </si>
  <si>
    <t>Jetti (vios)</t>
  </si>
  <si>
    <t>Che-Joe Cocolumber</t>
  </si>
  <si>
    <t>BOB Power Tools (bh)</t>
  </si>
  <si>
    <t>Payroll (Sep.29-Oct.4)</t>
  </si>
  <si>
    <t>Randy Millete (3d)</t>
  </si>
  <si>
    <t>Notary (3rd SMR)atty. Lawenko</t>
  </si>
  <si>
    <t>Rice Hull (apa)</t>
  </si>
  <si>
    <t>Acosta Enterprises (mh bed repair)</t>
  </si>
  <si>
    <t>Martin Lana labor</t>
  </si>
  <si>
    <t>Cigarrete (fe)</t>
  </si>
  <si>
    <t xml:space="preserve">DAB Power Tools </t>
  </si>
  <si>
    <t>Payroll (Oct.6-11)</t>
  </si>
  <si>
    <t>Randy Millete (bh)</t>
  </si>
  <si>
    <t>Randy Millete (b3f)</t>
  </si>
  <si>
    <t>Western Union Linda (1000$)</t>
  </si>
  <si>
    <t>SSS (Michelle)Sep.25</t>
  </si>
  <si>
    <t>Wilcon Depot (B3F)</t>
  </si>
  <si>
    <t>Legazpi Commerial Buil;ding</t>
  </si>
  <si>
    <t>Payroll (Oct.13-18)</t>
  </si>
  <si>
    <t>Misibis Affidavit of petion</t>
  </si>
  <si>
    <t>Transfer Tax misibis</t>
  </si>
  <si>
    <t>ROD Transfer Tittle</t>
  </si>
  <si>
    <t>ROD Transfer Tittle fee</t>
  </si>
  <si>
    <t>DAB Power Tools</t>
  </si>
  <si>
    <t>Landi Millete Labor (genset)</t>
  </si>
  <si>
    <t>JCA All Power Venture (genset)</t>
  </si>
  <si>
    <t>Payroll (Oct.20-25)</t>
  </si>
  <si>
    <t>Mhenard        Naag</t>
  </si>
  <si>
    <t>DAB  Power Tools</t>
  </si>
  <si>
    <t>Hair Wander</t>
  </si>
  <si>
    <t>Labor Landi Millete (electrical )</t>
  </si>
  <si>
    <t>Salary (Oct.1-31) Michelle Cuario</t>
  </si>
  <si>
    <t>Payroll (oct.27-nov.1,2025)</t>
  </si>
  <si>
    <t>Robert Principe</t>
  </si>
  <si>
    <t>Market (cemetary)</t>
  </si>
  <si>
    <t>Diocese Of Legazpi (souls mass)</t>
  </si>
  <si>
    <t>EMB PCO Renew</t>
  </si>
  <si>
    <t>Legazpi Water Distric (October 2025)</t>
  </si>
  <si>
    <t>Electric bill for (October 2025)</t>
  </si>
  <si>
    <t>Vacant Unit (2g)</t>
  </si>
  <si>
    <t>Vacant Unit (3d)</t>
  </si>
  <si>
    <t>Cleaning (nov.3-4)</t>
  </si>
  <si>
    <t>Rosa Millete</t>
  </si>
  <si>
    <t>Angeline Granadillos</t>
  </si>
  <si>
    <t>Bonus</t>
  </si>
  <si>
    <t>Michelle Cuario</t>
  </si>
  <si>
    <t>John Lloyd Cuario</t>
  </si>
  <si>
    <t>John Kenneth Cuario</t>
  </si>
  <si>
    <t>Crisha Granadillos</t>
  </si>
  <si>
    <t>Althea Granadillos</t>
  </si>
  <si>
    <t>Al- Sur Trading</t>
  </si>
  <si>
    <t>Misibis Property tax 2026</t>
  </si>
  <si>
    <t>Payroll (Nov.3-8)</t>
  </si>
  <si>
    <t>Weserve 360</t>
  </si>
  <si>
    <t>Wilcon Depot(dis.2,570.27 total 18,803.16)</t>
  </si>
  <si>
    <t>Payroll (nov.10-15)</t>
  </si>
  <si>
    <t>Wonderfull Shop (airpump pond)</t>
  </si>
  <si>
    <t>Philhealth (oct.nov.dec.25)</t>
  </si>
  <si>
    <t>SSS (Michelle)Oct.25</t>
  </si>
  <si>
    <t>Payroll (Nov.17-22)</t>
  </si>
  <si>
    <t>Taysan Property Tax 2026 (fe)</t>
  </si>
  <si>
    <t>Sagpon Property Tax 2026 (fe)</t>
  </si>
  <si>
    <t>Fe,Luz,Linda Sagpon Property Tax 2026</t>
  </si>
  <si>
    <t>RJ &amp; E Supply</t>
  </si>
  <si>
    <t>Al-sur Trading (f1 Stairs)</t>
  </si>
  <si>
    <t>Wilcon Depot (bh)</t>
  </si>
  <si>
    <t>Payroll (nov.24-29)</t>
  </si>
  <si>
    <t>Bernardo Millete (bh drainage repair)</t>
  </si>
  <si>
    <t>Guillermo Milleten (f1 stairs)</t>
  </si>
  <si>
    <t>Salary (Nov.1-30) Michelle Cuario</t>
  </si>
  <si>
    <t xml:space="preserve">                       TOTALS</t>
  </si>
  <si>
    <t>Nov.25-Dec.24/25</t>
  </si>
  <si>
    <t>Nov.13-Dec.12/25</t>
  </si>
  <si>
    <t>Nov.15-Dec.14/25</t>
  </si>
  <si>
    <t>Nov.2-Dec.1/25</t>
  </si>
  <si>
    <t>Nov.1-30/25</t>
  </si>
  <si>
    <t>Nov.31-Dec.29/25</t>
  </si>
  <si>
    <t>Nov.3-Dec.2/25</t>
  </si>
  <si>
    <t>Nov.26-Dec.25/25</t>
  </si>
  <si>
    <t>Nov.1-31/25</t>
  </si>
  <si>
    <t>Nov.31-Dec.30/25</t>
  </si>
  <si>
    <t>Nov.4-Dec.3/25</t>
  </si>
  <si>
    <t>Nov.9-Dec.8/25</t>
  </si>
  <si>
    <r>
      <t>Mireel Fatima Parcarey</t>
    </r>
    <r>
      <rPr>
        <sz val="8"/>
        <color rgb="FFFF0000"/>
        <rFont val="Arial"/>
        <family val="2"/>
      </rPr>
      <t>INVOICE#5044</t>
    </r>
  </si>
  <si>
    <r>
      <t>Nikki Prollamante</t>
    </r>
    <r>
      <rPr>
        <sz val="8"/>
        <color rgb="FFFF0000"/>
        <rFont val="Arial"/>
        <family val="2"/>
      </rPr>
      <t>INVOICE#5047</t>
    </r>
  </si>
  <si>
    <t>Nov.10-Dec.9/25</t>
  </si>
  <si>
    <r>
      <t>Sandrine Jammeka Mariano</t>
    </r>
    <r>
      <rPr>
        <sz val="8"/>
        <color rgb="FFFF0000"/>
        <rFont val="Arial"/>
        <family val="2"/>
      </rPr>
      <t xml:space="preserve"> INVOICE#5050</t>
    </r>
  </si>
  <si>
    <r>
      <t xml:space="preserve">Monica Bea Cabais </t>
    </r>
    <r>
      <rPr>
        <sz val="8"/>
        <color rgb="FFFF0000"/>
        <rFont val="Arial"/>
        <family val="2"/>
      </rPr>
      <t>INVOICE#5051</t>
    </r>
  </si>
  <si>
    <t>Nov.30-Dec.30/25</t>
  </si>
  <si>
    <r>
      <t xml:space="preserve">Alejandro Delarosa </t>
    </r>
    <r>
      <rPr>
        <sz val="8"/>
        <color rgb="FFC00000"/>
        <rFont val="Arial"/>
        <family val="2"/>
      </rPr>
      <t>INVOICE#5053</t>
    </r>
  </si>
  <si>
    <r>
      <t>Jester Bataller I</t>
    </r>
    <r>
      <rPr>
        <sz val="8"/>
        <color rgb="FFFF0000"/>
        <rFont val="Arial"/>
        <family val="2"/>
      </rPr>
      <t>NVOICE#5054</t>
    </r>
  </si>
  <si>
    <t>Nov.29-Dec.28/25</t>
  </si>
  <si>
    <t>Nov.29/25</t>
  </si>
  <si>
    <r>
      <t xml:space="preserve">Joan Rejuso </t>
    </r>
    <r>
      <rPr>
        <sz val="9"/>
        <color rgb="FFFF0000"/>
        <rFont val="Arial"/>
        <family val="2"/>
      </rPr>
      <t>INVOICE#5055</t>
    </r>
  </si>
  <si>
    <r>
      <t xml:space="preserve">Daryl Rivero </t>
    </r>
    <r>
      <rPr>
        <sz val="8"/>
        <color rgb="FFFF0000"/>
        <rFont val="Arial"/>
        <family val="2"/>
      </rPr>
      <t>INVOICE#5056</t>
    </r>
  </si>
  <si>
    <r>
      <t>4bs Non-Specialized trading</t>
    </r>
    <r>
      <rPr>
        <sz val="8"/>
        <color rgb="FFFF0000"/>
        <rFont val="Arial"/>
        <family val="2"/>
      </rPr>
      <t>INVOICE#5052</t>
    </r>
  </si>
  <si>
    <r>
      <t>Ron Juliene Dominguino</t>
    </r>
    <r>
      <rPr>
        <sz val="8"/>
        <color rgb="FFFF0000"/>
        <rFont val="Arial"/>
        <family val="2"/>
      </rPr>
      <t>INVOICE#5057</t>
    </r>
  </si>
  <si>
    <r>
      <t>Balu Sandhi</t>
    </r>
    <r>
      <rPr>
        <sz val="9"/>
        <color rgb="FFFF0000"/>
        <rFont val="Arial"/>
        <family val="2"/>
      </rPr>
      <t xml:space="preserve"> INVOICE#5058</t>
    </r>
  </si>
  <si>
    <t>Nov.28-Dec.27/25</t>
  </si>
  <si>
    <r>
      <t xml:space="preserve">Grace Trina metillo </t>
    </r>
    <r>
      <rPr>
        <sz val="8"/>
        <color rgb="FFFF0000"/>
        <rFont val="Arial"/>
        <family val="2"/>
      </rPr>
      <t>INVOICE#5059</t>
    </r>
  </si>
  <si>
    <t>Nov.30/25</t>
  </si>
  <si>
    <r>
      <rPr>
        <sz val="8"/>
        <rFont val="Arial"/>
        <family val="2"/>
      </rPr>
      <t>Alberto Mestiola</t>
    </r>
    <r>
      <rPr>
        <sz val="8"/>
        <color rgb="FFFF0000"/>
        <rFont val="Arial"/>
        <family val="2"/>
      </rPr>
      <t xml:space="preserve"> INVOICE#5060</t>
    </r>
  </si>
  <si>
    <r>
      <t xml:space="preserve">Jade Marmol  </t>
    </r>
    <r>
      <rPr>
        <sz val="8"/>
        <color rgb="FFFF0000"/>
        <rFont val="Arial"/>
        <family val="2"/>
      </rPr>
      <t>INVOICE#5061</t>
    </r>
  </si>
  <si>
    <t>Nov. 29-Dec.28/25</t>
  </si>
  <si>
    <r>
      <rPr>
        <sz val="8"/>
        <rFont val="Arial"/>
        <family val="2"/>
      </rPr>
      <t>Vim Diano</t>
    </r>
    <r>
      <rPr>
        <sz val="8"/>
        <color rgb="FFFF0000"/>
        <rFont val="Arial"/>
        <family val="2"/>
      </rPr>
      <t>INVOICE#5062</t>
    </r>
  </si>
  <si>
    <r>
      <t>France Sacueza</t>
    </r>
    <r>
      <rPr>
        <sz val="9"/>
        <color rgb="FFFF0000"/>
        <rFont val="Arial"/>
        <family val="2"/>
      </rPr>
      <t xml:space="preserve"> INVOICE#5063</t>
    </r>
  </si>
  <si>
    <r>
      <t>Bob Dumas</t>
    </r>
    <r>
      <rPr>
        <sz val="9"/>
        <color rgb="FFFF0000"/>
        <rFont val="Arial"/>
        <family val="2"/>
      </rPr>
      <t xml:space="preserve"> INVOICE#5064</t>
    </r>
  </si>
  <si>
    <r>
      <t xml:space="preserve">Princess Lana Aviso </t>
    </r>
    <r>
      <rPr>
        <sz val="8"/>
        <color rgb="FFFF0000"/>
        <rFont val="Arial"/>
        <family val="2"/>
      </rPr>
      <t>INVOICE#5065</t>
    </r>
  </si>
  <si>
    <r>
      <t>Pallavi Ravichandran</t>
    </r>
    <r>
      <rPr>
        <sz val="8"/>
        <color rgb="FFFF0000"/>
        <rFont val="Arial"/>
        <family val="2"/>
      </rPr>
      <t xml:space="preserve"> INVOICE#5066</t>
    </r>
  </si>
  <si>
    <t>Nov.18-Dec.17/25</t>
  </si>
  <si>
    <r>
      <t xml:space="preserve">Lobby Toor </t>
    </r>
    <r>
      <rPr>
        <sz val="8"/>
        <color rgb="FFFF0000"/>
        <rFont val="Arial"/>
        <family val="2"/>
      </rPr>
      <t>INVOICE#5067</t>
    </r>
  </si>
  <si>
    <t>Nov.7-Dec.6/25</t>
  </si>
  <si>
    <r>
      <t xml:space="preserve">EJ Millare </t>
    </r>
    <r>
      <rPr>
        <sz val="9"/>
        <color rgb="FFFF0000"/>
        <rFont val="Arial"/>
        <family val="2"/>
      </rPr>
      <t>INVOICE#5068</t>
    </r>
  </si>
  <si>
    <r>
      <t xml:space="preserve">Gupreet Sigh </t>
    </r>
    <r>
      <rPr>
        <sz val="9"/>
        <color rgb="FFFF0000"/>
        <rFont val="Arial"/>
        <family val="2"/>
      </rPr>
      <t>INVOICE#5069</t>
    </r>
  </si>
  <si>
    <t>Nov.21-Dec.20/25</t>
  </si>
  <si>
    <t>Dec.7-Jan.6/26</t>
  </si>
  <si>
    <t>Dec. 29-Jan.28/26</t>
  </si>
  <si>
    <t>Dec.26-Jan.25/26</t>
  </si>
  <si>
    <t>Dec.9-Jan.8/26</t>
  </si>
  <si>
    <t>Dec.30-Jan.30/26</t>
  </si>
  <si>
    <t>Dec.29-Jan.28/26</t>
  </si>
  <si>
    <t>Dec.10-Jan.9/26</t>
  </si>
  <si>
    <t>Dec.28-Jan.27/26</t>
  </si>
  <si>
    <t>Dec.15-Jan.14/26</t>
  </si>
  <si>
    <t>Dec.30-Jan.30/25</t>
  </si>
  <si>
    <t>Dec.4-Jan.3/26</t>
  </si>
  <si>
    <t>Dec.31-Jan.30/26</t>
  </si>
  <si>
    <t>Dec.21-jan.20/26</t>
  </si>
  <si>
    <t>Dec.3-Jan.2/26</t>
  </si>
  <si>
    <t>Dec.31-Jan.29/26</t>
  </si>
  <si>
    <t>Dec.13-Jan.12/26</t>
  </si>
  <si>
    <t>Dec.25-Jan.24/26</t>
  </si>
  <si>
    <r>
      <t>Sandrine Jammeka Mariano</t>
    </r>
    <r>
      <rPr>
        <sz val="8"/>
        <color rgb="FFFF0000"/>
        <rFont val="Arial"/>
        <family val="2"/>
      </rPr>
      <t xml:space="preserve"> INV.#5070</t>
    </r>
  </si>
  <si>
    <r>
      <t>Nikki Prollamante</t>
    </r>
    <r>
      <rPr>
        <sz val="8"/>
        <color rgb="FFFF0000"/>
        <rFont val="Arial"/>
        <family val="2"/>
      </rPr>
      <t>INVOICE#5071</t>
    </r>
  </si>
  <si>
    <r>
      <t>Mireel Fatima Parcarey</t>
    </r>
    <r>
      <rPr>
        <sz val="8"/>
        <color rgb="FFFF0000"/>
        <rFont val="Arial"/>
        <family val="2"/>
      </rPr>
      <t>INV.#5072</t>
    </r>
  </si>
  <si>
    <r>
      <t xml:space="preserve">Joan Rejuso </t>
    </r>
    <r>
      <rPr>
        <sz val="9"/>
        <color rgb="FFFF0000"/>
        <rFont val="Arial"/>
        <family val="2"/>
      </rPr>
      <t>INVOICE#5073</t>
    </r>
  </si>
  <si>
    <r>
      <t>Jester Bataller I</t>
    </r>
    <r>
      <rPr>
        <sz val="8"/>
        <color rgb="FFFF0000"/>
        <rFont val="Arial"/>
        <family val="2"/>
      </rPr>
      <t>NVOICE#5074</t>
    </r>
  </si>
  <si>
    <r>
      <t xml:space="preserve">Alejandro Delarosa </t>
    </r>
    <r>
      <rPr>
        <sz val="8"/>
        <color rgb="FFC00000"/>
        <rFont val="Arial"/>
        <family val="2"/>
      </rPr>
      <t>INVOICE#5075</t>
    </r>
  </si>
  <si>
    <r>
      <t xml:space="preserve">Daryl Rivero </t>
    </r>
    <r>
      <rPr>
        <sz val="8"/>
        <color rgb="FFFF0000"/>
        <rFont val="Arial"/>
        <family val="2"/>
      </rPr>
      <t>INVOICE#5076</t>
    </r>
  </si>
  <si>
    <r>
      <t>4bs Non-Specialized trading</t>
    </r>
    <r>
      <rPr>
        <sz val="8"/>
        <color rgb="FFFF0000"/>
        <rFont val="Arial"/>
        <family val="2"/>
      </rPr>
      <t>INV.#5077</t>
    </r>
  </si>
  <si>
    <r>
      <t>Vim Diano</t>
    </r>
    <r>
      <rPr>
        <sz val="8"/>
        <color rgb="FFFF0000"/>
        <rFont val="Arial"/>
        <family val="2"/>
      </rPr>
      <t>INVOICE#5078</t>
    </r>
  </si>
  <si>
    <r>
      <t>Ron Juliene Dominguino</t>
    </r>
    <r>
      <rPr>
        <sz val="8"/>
        <color rgb="FFFF0000"/>
        <rFont val="Arial"/>
        <family val="2"/>
      </rPr>
      <t>INV.#5079</t>
    </r>
  </si>
  <si>
    <r>
      <t xml:space="preserve">Grace Trina metillo </t>
    </r>
    <r>
      <rPr>
        <sz val="8"/>
        <color rgb="FFFF0000"/>
        <rFont val="Arial"/>
        <family val="2"/>
      </rPr>
      <t>INVOICE#5080</t>
    </r>
  </si>
  <si>
    <r>
      <t xml:space="preserve">Princess Lana Aviso </t>
    </r>
    <r>
      <rPr>
        <sz val="8"/>
        <color rgb="FFFF0000"/>
        <rFont val="Arial"/>
        <family val="2"/>
      </rPr>
      <t>INVOICE#5081</t>
    </r>
  </si>
  <si>
    <r>
      <t xml:space="preserve">Monica Bea Cabais </t>
    </r>
    <r>
      <rPr>
        <sz val="8"/>
        <color rgb="FFFF0000"/>
        <rFont val="Arial"/>
        <family val="2"/>
      </rPr>
      <t>INVOICE#5082</t>
    </r>
  </si>
  <si>
    <t>Gallego (f1 stairs)</t>
  </si>
  <si>
    <t>Electric bill (November 25)</t>
  </si>
  <si>
    <t>Vacant unit 2g</t>
  </si>
  <si>
    <t>Saverite (bh)</t>
  </si>
  <si>
    <t>Legazpi Water Distric (nov.25)</t>
  </si>
  <si>
    <t>Lucky Educational Supply.(receipts)</t>
  </si>
  <si>
    <t>Payroll (Dec.1-6,25)</t>
  </si>
  <si>
    <t>Angeles Millete (mh)</t>
  </si>
  <si>
    <t>Randy Millete (mh)</t>
  </si>
  <si>
    <t>Guillermo Millete (f1 stairs)</t>
  </si>
  <si>
    <t>Mhenard Naag( Bh)</t>
  </si>
  <si>
    <t>Citi Hardware (bh)</t>
  </si>
  <si>
    <t>Al-Sur Trading (bh)</t>
  </si>
  <si>
    <t>Wilcon depot (f1 stairs)</t>
  </si>
  <si>
    <t>Wilcon Depot  (f1 stairs)</t>
  </si>
  <si>
    <t>Payroll (dec.8-13)</t>
  </si>
  <si>
    <t>Bernardo Millete (bh)</t>
  </si>
  <si>
    <t>Guillermo Millete (f1 Stairs)</t>
  </si>
  <si>
    <t>Mhenard Naag (bh)</t>
  </si>
  <si>
    <t>Payroll (dec.15-20)</t>
  </si>
  <si>
    <t>Angeles Millete (f1 stairs)</t>
  </si>
  <si>
    <t>Randy Millete (bh unit 3f)</t>
  </si>
  <si>
    <t>Guillermo Millete (mh)</t>
  </si>
  <si>
    <t>Mhenard Naag (mh)</t>
  </si>
  <si>
    <t>Bonus to Workers (mh)</t>
  </si>
  <si>
    <t>Payroll (dec.22-27)</t>
  </si>
  <si>
    <t>Bernardo Millete (mh)</t>
  </si>
  <si>
    <t>SSS (Michelle)nov.25</t>
  </si>
  <si>
    <t>Cemetary Museum (nov.2024 to nov.2025</t>
  </si>
  <si>
    <t>(michelle Cuario)</t>
  </si>
  <si>
    <t>Salary (Dec.1-31) Michelle Cuario</t>
  </si>
  <si>
    <r>
      <t xml:space="preserve">Jade Marmol  </t>
    </r>
    <r>
      <rPr>
        <sz val="8"/>
        <color rgb="FFFF0000"/>
        <rFont val="Arial"/>
        <family val="2"/>
      </rPr>
      <t>INVOICE#5083</t>
    </r>
  </si>
  <si>
    <r>
      <t xml:space="preserve">Lobby Toor </t>
    </r>
    <r>
      <rPr>
        <sz val="8"/>
        <color rgb="FFFF0000"/>
        <rFont val="Arial"/>
        <family val="2"/>
      </rPr>
      <t>INVOICE#5084</t>
    </r>
  </si>
  <si>
    <r>
      <t xml:space="preserve">Krishnaveni </t>
    </r>
    <r>
      <rPr>
        <sz val="9"/>
        <color rgb="FFFF0000"/>
        <rFont val="Arial"/>
        <family val="2"/>
      </rPr>
      <t>INVOICE#5085</t>
    </r>
  </si>
  <si>
    <r>
      <t xml:space="preserve">EJ Millare </t>
    </r>
    <r>
      <rPr>
        <sz val="9"/>
        <color rgb="FFFF0000"/>
        <rFont val="Arial"/>
        <family val="2"/>
      </rPr>
      <t>INVOICE#5086</t>
    </r>
  </si>
  <si>
    <t>JANUARY 2026"</t>
  </si>
  <si>
    <t>YEAR 2026</t>
  </si>
  <si>
    <r>
      <t>Nikki Prollamante</t>
    </r>
    <r>
      <rPr>
        <sz val="8"/>
        <color rgb="FFFF0000"/>
        <rFont val="Arial"/>
        <family val="2"/>
      </rPr>
      <t>INVOICE#5087</t>
    </r>
  </si>
  <si>
    <t>Jan.10-Feb.9/26</t>
  </si>
  <si>
    <r>
      <rPr>
        <sz val="8"/>
        <rFont val="Arial"/>
        <family val="2"/>
      </rPr>
      <t>Alberto Mestiola</t>
    </r>
    <r>
      <rPr>
        <sz val="8"/>
        <color rgb="FFFF0000"/>
        <rFont val="Arial"/>
        <family val="2"/>
      </rPr>
      <t xml:space="preserve"> INVOICE#5088</t>
    </r>
  </si>
  <si>
    <r>
      <t xml:space="preserve">Gupreet Sigh </t>
    </r>
    <r>
      <rPr>
        <sz val="9"/>
        <color rgb="FFFF0000"/>
        <rFont val="Arial"/>
        <family val="2"/>
      </rPr>
      <t>INVOICE#5089</t>
    </r>
  </si>
  <si>
    <r>
      <t>France Sacueza</t>
    </r>
    <r>
      <rPr>
        <sz val="9"/>
        <color rgb="FFFF0000"/>
        <rFont val="Arial"/>
        <family val="2"/>
      </rPr>
      <t xml:space="preserve"> INVOICE#5090</t>
    </r>
  </si>
  <si>
    <r>
      <t>Bob Dumas</t>
    </r>
    <r>
      <rPr>
        <sz val="9"/>
        <color rgb="FFFF0000"/>
        <rFont val="Arial"/>
        <family val="2"/>
      </rPr>
      <t xml:space="preserve"> INVOICE#5091</t>
    </r>
  </si>
  <si>
    <r>
      <t>Mireel Fatima Parcarey</t>
    </r>
    <r>
      <rPr>
        <sz val="8"/>
        <color rgb="FFFF0000"/>
        <rFont val="Arial"/>
        <family val="2"/>
      </rPr>
      <t>INV.#5092</t>
    </r>
  </si>
  <si>
    <t>Jan.1-31/26</t>
  </si>
  <si>
    <r>
      <t>Sandrine Jammeka Mariano</t>
    </r>
    <r>
      <rPr>
        <sz val="8"/>
        <color rgb="FFFF0000"/>
        <rFont val="Arial"/>
        <family val="2"/>
      </rPr>
      <t xml:space="preserve"> INV.#5093</t>
    </r>
  </si>
  <si>
    <t>Jan.9-Feb.8/26</t>
  </si>
  <si>
    <r>
      <t>Jester Bataller I</t>
    </r>
    <r>
      <rPr>
        <sz val="8"/>
        <color rgb="FFFF0000"/>
        <rFont val="Arial"/>
        <family val="2"/>
      </rPr>
      <t>NVOICE#5094</t>
    </r>
  </si>
  <si>
    <t>Jan.29-Feb.28/26</t>
  </si>
  <si>
    <r>
      <t>4bs Non-Specialized trading</t>
    </r>
    <r>
      <rPr>
        <sz val="8"/>
        <color rgb="FFFF0000"/>
        <rFont val="Arial"/>
        <family val="2"/>
      </rPr>
      <t>INV.#5095</t>
    </r>
  </si>
  <si>
    <t>Jan.30-Feb.28/26</t>
  </si>
  <si>
    <r>
      <t xml:space="preserve">Grace Trina metillo </t>
    </r>
    <r>
      <rPr>
        <sz val="8"/>
        <color rgb="FFFF0000"/>
        <rFont val="Arial"/>
        <family val="2"/>
      </rPr>
      <t>INVOICE#5096</t>
    </r>
  </si>
  <si>
    <r>
      <t xml:space="preserve">Joan Rejuso </t>
    </r>
    <r>
      <rPr>
        <sz val="9"/>
        <color rgb="FFFF0000"/>
        <rFont val="Arial"/>
        <family val="2"/>
      </rPr>
      <t>INVOICE#5097</t>
    </r>
  </si>
  <si>
    <t>Jan.15-Feb.14/26</t>
  </si>
  <si>
    <r>
      <t xml:space="preserve">Daryl Rivero </t>
    </r>
    <r>
      <rPr>
        <sz val="8"/>
        <color rgb="FFFF0000"/>
        <rFont val="Arial"/>
        <family val="2"/>
      </rPr>
      <t>INVOICE#5098</t>
    </r>
  </si>
  <si>
    <t>Jan.26-Feb.25/26</t>
  </si>
  <si>
    <r>
      <t>Vim Diano</t>
    </r>
    <r>
      <rPr>
        <sz val="8"/>
        <color rgb="FFFF0000"/>
        <rFont val="Arial"/>
        <family val="2"/>
      </rPr>
      <t>INVOICE#5099</t>
    </r>
  </si>
  <si>
    <t>Jan.31-Feb.28/26</t>
  </si>
  <si>
    <r>
      <t xml:space="preserve">Alejandro Delarosa </t>
    </r>
    <r>
      <rPr>
        <sz val="8"/>
        <color rgb="FFC00000"/>
        <rFont val="Arial"/>
        <family val="2"/>
      </rPr>
      <t>INVOICE#5100</t>
    </r>
  </si>
  <si>
    <r>
      <t xml:space="preserve">Princess Lana Aviso </t>
    </r>
    <r>
      <rPr>
        <sz val="8"/>
        <color rgb="FFFF0000"/>
        <rFont val="Arial"/>
        <family val="2"/>
      </rPr>
      <t>INVOICE#5101</t>
    </r>
  </si>
  <si>
    <r>
      <t xml:space="preserve">Monica Bea Cabais </t>
    </r>
    <r>
      <rPr>
        <sz val="8"/>
        <color rgb="FFFF0000"/>
        <rFont val="Arial"/>
        <family val="2"/>
      </rPr>
      <t>INVOICE#5102</t>
    </r>
  </si>
  <si>
    <r>
      <t>Ron Juliene Dominguino</t>
    </r>
    <r>
      <rPr>
        <sz val="8"/>
        <color rgb="FFFF0000"/>
        <rFont val="Arial"/>
        <family val="2"/>
      </rPr>
      <t>INV.#5103</t>
    </r>
  </si>
  <si>
    <r>
      <t xml:space="preserve">Jade Marmol  </t>
    </r>
    <r>
      <rPr>
        <sz val="8"/>
        <color rgb="FFFF0000"/>
        <rFont val="Arial"/>
        <family val="2"/>
      </rPr>
      <t>INVOICE#5104</t>
    </r>
  </si>
  <si>
    <t>Jan. 29-Feb.28/26</t>
  </si>
  <si>
    <r>
      <t>Bob Dumas</t>
    </r>
    <r>
      <rPr>
        <sz val="9"/>
        <color rgb="FFFF0000"/>
        <rFont val="Arial"/>
        <family val="2"/>
      </rPr>
      <t xml:space="preserve"> INVOICE#5105</t>
    </r>
  </si>
  <si>
    <r>
      <t>France Sacueza</t>
    </r>
    <r>
      <rPr>
        <sz val="9"/>
        <color rgb="FFFF0000"/>
        <rFont val="Arial"/>
        <family val="2"/>
      </rPr>
      <t xml:space="preserve"> INVOICE#5106</t>
    </r>
  </si>
  <si>
    <r>
      <t xml:space="preserve">EJ Millare </t>
    </r>
    <r>
      <rPr>
        <sz val="9"/>
        <color rgb="FFFF0000"/>
        <rFont val="Arial"/>
        <family val="2"/>
      </rPr>
      <t>INVOICE#5107</t>
    </r>
  </si>
  <si>
    <t>Jan.28-Feb.27/26</t>
  </si>
  <si>
    <r>
      <t xml:space="preserve">Lobby Toor </t>
    </r>
    <r>
      <rPr>
        <sz val="8"/>
        <color rgb="FFFF0000"/>
        <rFont val="Arial"/>
        <family val="2"/>
      </rPr>
      <t>INVOICE#5108</t>
    </r>
  </si>
  <si>
    <t>Jan.7-Feb.6/26</t>
  </si>
  <si>
    <r>
      <rPr>
        <sz val="8"/>
        <rFont val="Arial"/>
        <family val="2"/>
      </rPr>
      <t>Alberto Mestiola</t>
    </r>
    <r>
      <rPr>
        <sz val="8"/>
        <color rgb="FFFF0000"/>
        <rFont val="Arial"/>
        <family val="2"/>
      </rPr>
      <t xml:space="preserve"> INVOICE#5109</t>
    </r>
  </si>
  <si>
    <r>
      <t xml:space="preserve">Krishnaveni </t>
    </r>
    <r>
      <rPr>
        <sz val="9"/>
        <color rgb="FFFF0000"/>
        <rFont val="Arial"/>
        <family val="2"/>
      </rPr>
      <t>INVOICE#5110</t>
    </r>
  </si>
  <si>
    <r>
      <t xml:space="preserve">Gupreet Sigh </t>
    </r>
    <r>
      <rPr>
        <sz val="9"/>
        <color rgb="FFFF0000"/>
        <rFont val="Arial"/>
        <family val="2"/>
      </rPr>
      <t>INVOICE#5111</t>
    </r>
  </si>
  <si>
    <t>Jan.4-Feb.3/26</t>
  </si>
  <si>
    <t>Jan.3-Feb.2/26</t>
  </si>
  <si>
    <t>Jan.2-Feb.1/26</t>
  </si>
  <si>
    <t>Jan.13-Feb.12/26</t>
  </si>
  <si>
    <t>Jan.25-Feb.24/26</t>
  </si>
  <si>
    <t>Jan.21-Feb.20/26</t>
  </si>
  <si>
    <t>13th month pay (michelle Cuario)</t>
  </si>
  <si>
    <t>Electric bill (December 25)</t>
  </si>
  <si>
    <t>Buseness Permit 2026</t>
  </si>
  <si>
    <t>Cedula</t>
  </si>
  <si>
    <t>payroll (Randy Millete)3f (jan.5-10)</t>
  </si>
  <si>
    <t>BPI (fe)deposit</t>
  </si>
  <si>
    <t>BPI (dianna)deposit</t>
  </si>
  <si>
    <t>BPI (Chris) deposit</t>
  </si>
  <si>
    <t>BDO (fe) deposit</t>
  </si>
  <si>
    <t>PNB (fe) deposit</t>
  </si>
  <si>
    <t>LSB (fe) deposit</t>
  </si>
  <si>
    <t>LSB (Chris) deposit</t>
  </si>
  <si>
    <t>Manson Trading (3f)</t>
  </si>
  <si>
    <t>Legazpi Water Distric (dec.25)</t>
  </si>
  <si>
    <t>Notary 4th quarter SMR</t>
  </si>
  <si>
    <t>SSS (michelle cuario)(dec.25)</t>
  </si>
  <si>
    <t>Bhing Glass Supply (b2b)</t>
  </si>
  <si>
    <t>Bhing Glass Supply (mh)</t>
  </si>
  <si>
    <t>Angena Trading</t>
  </si>
  <si>
    <t>BIR 1701</t>
  </si>
  <si>
    <t>Salary (Jan.1-31) Michelle Cuario</t>
  </si>
  <si>
    <t>Loan (Michelle )laptop</t>
  </si>
  <si>
    <t>Loan (Angeline )</t>
  </si>
  <si>
    <t>STATEMENT OF LOAN (LAPTOP)MICHELLE CUARIO</t>
  </si>
  <si>
    <t>date : JANUARY 2,2026 (50,000)</t>
  </si>
  <si>
    <t>PAYMENT:</t>
  </si>
  <si>
    <t xml:space="preserve">AMOUNT </t>
  </si>
  <si>
    <t>BALANCE</t>
  </si>
  <si>
    <t xml:space="preserve">DATE </t>
  </si>
  <si>
    <t>STATEMENT OF LOAN (ANGELENE GRANADILLOS)</t>
  </si>
  <si>
    <t xml:space="preserve">DATE OF </t>
  </si>
  <si>
    <t>LOAN</t>
  </si>
  <si>
    <t>AMOUNT</t>
  </si>
  <si>
    <t xml:space="preserve">TOTAL AMOUNT OF </t>
  </si>
  <si>
    <t>PAYMENT DETAILS</t>
  </si>
  <si>
    <t>FEBRUARY 2026"</t>
  </si>
  <si>
    <t>Feb.13-Mar.12/26</t>
  </si>
  <si>
    <t>Feb.25-Mar.24/26</t>
  </si>
  <si>
    <t>Feb.15-Mar.14/26</t>
  </si>
  <si>
    <t>Feb.2-Mar.1/26</t>
  </si>
  <si>
    <t>Feb.1-28/26</t>
  </si>
  <si>
    <t>Feb.28-Mar.28/26</t>
  </si>
  <si>
    <t>Feb.3-Mar.2/26</t>
  </si>
  <si>
    <t>Feb.21-Mar.20/26</t>
  </si>
  <si>
    <t>Feb.26-Mar.25/26</t>
  </si>
  <si>
    <t>Feb. 29-Mar.28/26</t>
  </si>
  <si>
    <t>Feb.9-Mar.8/26</t>
  </si>
  <si>
    <t>Feb.28-Mar.27/26</t>
  </si>
  <si>
    <t>Feb.29-Mar.28/26</t>
  </si>
  <si>
    <t>Feb.10-Mar.9/26</t>
  </si>
  <si>
    <t>Feb.4-Mar.3/26</t>
  </si>
  <si>
    <r>
      <t>Mireel Fatima Parcarey</t>
    </r>
    <r>
      <rPr>
        <sz val="8"/>
        <color rgb="FFFF0000"/>
        <rFont val="Arial"/>
        <family val="2"/>
      </rPr>
      <t>INV.#5112</t>
    </r>
  </si>
  <si>
    <r>
      <t>Sandrine Jammeka Mariano</t>
    </r>
    <r>
      <rPr>
        <sz val="8"/>
        <color rgb="FFFF0000"/>
        <rFont val="Arial"/>
        <family val="2"/>
      </rPr>
      <t xml:space="preserve"> INV.#5113</t>
    </r>
  </si>
  <si>
    <r>
      <t>Nikki Prollamante</t>
    </r>
    <r>
      <rPr>
        <sz val="8"/>
        <color rgb="FFFF0000"/>
        <rFont val="Arial"/>
        <family val="2"/>
      </rPr>
      <t>INVOICE#5114</t>
    </r>
  </si>
  <si>
    <r>
      <t xml:space="preserve">Eunice Francisco </t>
    </r>
    <r>
      <rPr>
        <sz val="8"/>
        <color rgb="FFFF0000"/>
        <rFont val="Arial"/>
        <family val="2"/>
      </rPr>
      <t>INV.#5115</t>
    </r>
  </si>
  <si>
    <t>Feb.25/26</t>
  </si>
  <si>
    <r>
      <t xml:space="preserve">Princess Lana Aviso </t>
    </r>
    <r>
      <rPr>
        <sz val="8"/>
        <color rgb="FFFF0000"/>
        <rFont val="Arial"/>
        <family val="2"/>
      </rPr>
      <t>INVOICE#5116</t>
    </r>
  </si>
  <si>
    <r>
      <t>Jester Bataller I</t>
    </r>
    <r>
      <rPr>
        <sz val="8"/>
        <color rgb="FFFF0000"/>
        <rFont val="Arial"/>
        <family val="2"/>
      </rPr>
      <t>NVOICE#5117</t>
    </r>
  </si>
  <si>
    <r>
      <t xml:space="preserve">Gupreet Sigh </t>
    </r>
    <r>
      <rPr>
        <sz val="9"/>
        <color rgb="FFFF0000"/>
        <rFont val="Arial"/>
        <family val="2"/>
      </rPr>
      <t>INVOICE#5118</t>
    </r>
  </si>
  <si>
    <r>
      <t xml:space="preserve">Joan Rejuso </t>
    </r>
    <r>
      <rPr>
        <sz val="9"/>
        <color rgb="FFFF0000"/>
        <rFont val="Arial"/>
        <family val="2"/>
      </rPr>
      <t>INVOICE#5119</t>
    </r>
  </si>
  <si>
    <r>
      <t xml:space="preserve">Daryl Rivero </t>
    </r>
    <r>
      <rPr>
        <sz val="8"/>
        <color rgb="FFFF0000"/>
        <rFont val="Arial"/>
        <family val="2"/>
      </rPr>
      <t>INVOICE#5120</t>
    </r>
  </si>
  <si>
    <r>
      <t xml:space="preserve">Grace Trina metillo </t>
    </r>
    <r>
      <rPr>
        <sz val="8"/>
        <color rgb="FFFF0000"/>
        <rFont val="Arial"/>
        <family val="2"/>
      </rPr>
      <t>INVOICE#5121</t>
    </r>
  </si>
  <si>
    <r>
      <t xml:space="preserve">Alejandro Delarosa </t>
    </r>
    <r>
      <rPr>
        <sz val="8"/>
        <color rgb="FFC00000"/>
        <rFont val="Arial"/>
        <family val="2"/>
      </rPr>
      <t>INVOICE#5122</t>
    </r>
  </si>
  <si>
    <r>
      <t xml:space="preserve">Krishnaveni </t>
    </r>
    <r>
      <rPr>
        <sz val="9"/>
        <color rgb="FFFF0000"/>
        <rFont val="Arial"/>
        <family val="2"/>
      </rPr>
      <t>INVOICE#5123</t>
    </r>
  </si>
  <si>
    <r>
      <t>Bob Dumas</t>
    </r>
    <r>
      <rPr>
        <sz val="9"/>
        <color rgb="FFFF0000"/>
        <rFont val="Arial"/>
        <family val="2"/>
      </rPr>
      <t xml:space="preserve"> INVOICE#5124</t>
    </r>
  </si>
  <si>
    <r>
      <t>Ron Juliene Dominguino</t>
    </r>
    <r>
      <rPr>
        <sz val="8"/>
        <color rgb="FFFF0000"/>
        <rFont val="Arial"/>
        <family val="2"/>
      </rPr>
      <t>INV.#5125</t>
    </r>
  </si>
  <si>
    <r>
      <t xml:space="preserve">Monica Bea Cabais </t>
    </r>
    <r>
      <rPr>
        <sz val="8"/>
        <color rgb="FFFF0000"/>
        <rFont val="Arial"/>
        <family val="2"/>
      </rPr>
      <t>INVOICE#5126</t>
    </r>
  </si>
  <si>
    <t>Feb.7-Mar.6/26</t>
  </si>
  <si>
    <r>
      <t xml:space="preserve">Lobby Toor </t>
    </r>
    <r>
      <rPr>
        <sz val="8"/>
        <color rgb="FFFF0000"/>
        <rFont val="Arial"/>
        <family val="2"/>
      </rPr>
      <t>INVOICE#5127</t>
    </r>
  </si>
  <si>
    <r>
      <t xml:space="preserve">Jade Marmol  </t>
    </r>
    <r>
      <rPr>
        <sz val="8"/>
        <color rgb="FFFF0000"/>
        <rFont val="Arial"/>
        <family val="2"/>
      </rPr>
      <t>INVOICE#5128</t>
    </r>
  </si>
  <si>
    <r>
      <t xml:space="preserve">EJ Millare </t>
    </r>
    <r>
      <rPr>
        <sz val="9"/>
        <color rgb="FFFF0000"/>
        <rFont val="Arial"/>
        <family val="2"/>
      </rPr>
      <t>INVOICE#5129</t>
    </r>
  </si>
  <si>
    <r>
      <rPr>
        <sz val="8"/>
        <rFont val="Arial"/>
        <family val="2"/>
      </rPr>
      <t>Alberto Mestiola</t>
    </r>
    <r>
      <rPr>
        <sz val="8"/>
        <color rgb="FFFF0000"/>
        <rFont val="Arial"/>
        <family val="2"/>
      </rPr>
      <t xml:space="preserve"> INVOICE#5130</t>
    </r>
  </si>
  <si>
    <r>
      <t>4bs Non-Specialized trading</t>
    </r>
    <r>
      <rPr>
        <sz val="8"/>
        <color rgb="FFFF0000"/>
        <rFont val="Arial"/>
        <family val="2"/>
      </rPr>
      <t>INV.#5131</t>
    </r>
  </si>
  <si>
    <r>
      <t>France Sacueza</t>
    </r>
    <r>
      <rPr>
        <sz val="9"/>
        <color rgb="FFFF0000"/>
        <rFont val="Arial"/>
        <family val="2"/>
      </rPr>
      <t xml:space="preserve"> INVOICE#5132</t>
    </r>
  </si>
  <si>
    <r>
      <t>Vim Diano</t>
    </r>
    <r>
      <rPr>
        <sz val="8"/>
        <color rgb="FFFF0000"/>
        <rFont val="Arial"/>
        <family val="2"/>
      </rPr>
      <t>INVOICE#5133</t>
    </r>
  </si>
  <si>
    <t xml:space="preserve">FEBRUARY </t>
  </si>
  <si>
    <t>Loan (Angeline)</t>
  </si>
  <si>
    <t>ROD (Certified True Copy)misibis</t>
  </si>
  <si>
    <t>Electric bill (January 26)</t>
  </si>
  <si>
    <t>3f electricbill (vacant)</t>
  </si>
  <si>
    <t>Legazpi Water Distric (jan.26)</t>
  </si>
  <si>
    <t>SSS (michelle cuario)(Jan.26)</t>
  </si>
  <si>
    <t>Philhealth (jan,feb march 26)</t>
  </si>
  <si>
    <t>Asian Marketing</t>
  </si>
  <si>
    <t>Certified True Copy (misibis)new title</t>
  </si>
  <si>
    <t>x-Rox</t>
  </si>
  <si>
    <t>Tax Clearance (new)</t>
  </si>
  <si>
    <t>Tranfer Tax (misibis)</t>
  </si>
  <si>
    <t>Salary (feb.1-28) Michelle Cuario</t>
  </si>
  <si>
    <t xml:space="preserve">BDO (fe) </t>
  </si>
  <si>
    <t>Electribill Feb.26</t>
  </si>
  <si>
    <t>Standard Gas (genset gaz)</t>
  </si>
  <si>
    <t>SSS (michelle) (feb.26)</t>
  </si>
  <si>
    <t>Deposit (PNB) fe</t>
  </si>
  <si>
    <t>BPI chris</t>
  </si>
  <si>
    <t>R.Volante Gasoline (genset)</t>
  </si>
  <si>
    <t>Legazpi Water Distric (feb.2)</t>
  </si>
  <si>
    <t>Assian Marketing</t>
  </si>
  <si>
    <t>101 Shoping mall</t>
  </si>
  <si>
    <t>Alvin Repair Shop (bh pump repair)</t>
  </si>
  <si>
    <t>Labor Randy (mar.22-23) (bh pump install)</t>
  </si>
  <si>
    <t>OR Vios 2026</t>
  </si>
  <si>
    <t>Insurance</t>
  </si>
  <si>
    <t>Emmision</t>
  </si>
  <si>
    <t>Stincil</t>
  </si>
  <si>
    <t>Citi Hardware</t>
  </si>
  <si>
    <t>BPI (diana)</t>
  </si>
  <si>
    <t>Refund deposit (1e)</t>
  </si>
  <si>
    <t>Salaries (michelle)mar.1-31,2026)</t>
  </si>
  <si>
    <t xml:space="preserve">MARCH </t>
  </si>
  <si>
    <t>21-Mar--26</t>
  </si>
  <si>
    <t>MARCH 2026"</t>
  </si>
  <si>
    <t>Mar.7-Apr.6/26</t>
  </si>
  <si>
    <t>Mar. 29-Apr.28/26</t>
  </si>
  <si>
    <t>Mar.26-Apr.25/26</t>
  </si>
  <si>
    <t>Mar.9-Apr.8/26</t>
  </si>
  <si>
    <t>Mar.28-Apr.28/26</t>
  </si>
  <si>
    <t>Mar.28-Apr.27/26</t>
  </si>
  <si>
    <t>Mar.15-Apr.14/26</t>
  </si>
  <si>
    <t>Mar.29-Apr.28/26</t>
  </si>
  <si>
    <t>Mar.1-31/26</t>
  </si>
  <si>
    <t>Mar.10-Apr.9/26</t>
  </si>
  <si>
    <t>Mar.4-Apr.3/26</t>
  </si>
  <si>
    <t>Mar.25-Apr.24/26</t>
  </si>
  <si>
    <t>Mar.21-Apr.20/26</t>
  </si>
  <si>
    <t>Mar.3-Apr.2/26</t>
  </si>
  <si>
    <t>Mar.2-Apr.1/26</t>
  </si>
  <si>
    <t>Mar.13-Apr.12/26</t>
  </si>
  <si>
    <t>13--Mar-26</t>
  </si>
  <si>
    <r>
      <t>Mireel Fatima Parcarey</t>
    </r>
    <r>
      <rPr>
        <sz val="8"/>
        <color rgb="FFFF0000"/>
        <rFont val="Arial"/>
        <family val="2"/>
      </rPr>
      <t>INV.#5134</t>
    </r>
  </si>
  <si>
    <r>
      <t>Sandrine Jammeka Mariano</t>
    </r>
    <r>
      <rPr>
        <sz val="8"/>
        <color rgb="FFFF0000"/>
        <rFont val="Arial"/>
        <family val="2"/>
      </rPr>
      <t xml:space="preserve"> INV.#5135</t>
    </r>
  </si>
  <si>
    <r>
      <t xml:space="preserve">Eunice Francisco </t>
    </r>
    <r>
      <rPr>
        <sz val="8"/>
        <color rgb="FFFF0000"/>
        <rFont val="Arial"/>
        <family val="2"/>
      </rPr>
      <t>INV.#5138</t>
    </r>
  </si>
  <si>
    <r>
      <t xml:space="preserve">Jade Marmol  </t>
    </r>
    <r>
      <rPr>
        <sz val="8"/>
        <color rgb="FFFF0000"/>
        <rFont val="Arial"/>
        <family val="2"/>
      </rPr>
      <t>INVOICE#5141</t>
    </r>
  </si>
  <si>
    <r>
      <t xml:space="preserve">Daryl Rivero </t>
    </r>
    <r>
      <rPr>
        <sz val="8"/>
        <color rgb="FFFF0000"/>
        <rFont val="Arial"/>
        <family val="2"/>
      </rPr>
      <t>INVOICE#5142</t>
    </r>
  </si>
  <si>
    <r>
      <t>Ron Juliene Dominguino</t>
    </r>
    <r>
      <rPr>
        <sz val="8"/>
        <color rgb="FFFF0000"/>
        <rFont val="Arial"/>
        <family val="2"/>
      </rPr>
      <t>INV.#5144</t>
    </r>
  </si>
  <si>
    <r>
      <t xml:space="preserve">Lobby Toor </t>
    </r>
    <r>
      <rPr>
        <sz val="8"/>
        <color rgb="FFFF0000"/>
        <rFont val="Arial"/>
        <family val="2"/>
      </rPr>
      <t>INVOICE#5146</t>
    </r>
  </si>
  <si>
    <t>DTI Renew</t>
  </si>
  <si>
    <t>Electricbill (mar.26)</t>
  </si>
  <si>
    <t>chris</t>
  </si>
  <si>
    <t>LSB (fe deposit</t>
  </si>
  <si>
    <t>Legazpi Water Distric (mar.26)</t>
  </si>
  <si>
    <t>Wilcon Depot INC.</t>
  </si>
  <si>
    <t xml:space="preserve">FSMR </t>
  </si>
  <si>
    <t>BDO  (fe)</t>
  </si>
  <si>
    <t>Legazpi Champion</t>
  </si>
  <si>
    <t>Labor (Randy)Apr.9-12)bh</t>
  </si>
  <si>
    <t>Labor (Jonard )Apr.9-12)bh</t>
  </si>
  <si>
    <t>SSS (Michelle )mar.26</t>
  </si>
  <si>
    <t>BDO deposit  (FE)</t>
  </si>
  <si>
    <t>Al-Sur Trading bh rooftop</t>
  </si>
  <si>
    <t>Al--Sur Trading bh rooftop</t>
  </si>
  <si>
    <t>Citi Hardware (bh rooftop)</t>
  </si>
  <si>
    <t>Manson Trading (mh Pump)</t>
  </si>
  <si>
    <t>Wilcon Depot INC. (bh)</t>
  </si>
  <si>
    <t>Payroll (Randy (apr.13-18)</t>
  </si>
  <si>
    <t>Payroll (Jonard  (apr.13-18)</t>
  </si>
  <si>
    <t>Triple Hardware (bh)</t>
  </si>
  <si>
    <t xml:space="preserve">Yashano </t>
  </si>
  <si>
    <t>Labor (apr.20-25)Randy</t>
  </si>
  <si>
    <t>Labor (apr.20-25)Jonard</t>
  </si>
  <si>
    <t>Petron (genset gaz)</t>
  </si>
  <si>
    <t>Salaries (michelle)Apr.1-30,2026)</t>
  </si>
  <si>
    <t xml:space="preserve">     TOTALS</t>
  </si>
  <si>
    <t>APRIL 2026"</t>
  </si>
  <si>
    <t>Apr.7-May.6/26</t>
  </si>
  <si>
    <t>Apr. 29-May.28/26</t>
  </si>
  <si>
    <t>Apr.26-May.25/26</t>
  </si>
  <si>
    <t>Apr.9-May.8/26</t>
  </si>
  <si>
    <t>Apr.28-May.27/26</t>
  </si>
  <si>
    <t>Apr.15-May.14/26</t>
  </si>
  <si>
    <t>Apr.1-30/26</t>
  </si>
  <si>
    <t>Apr.10-May.9/26</t>
  </si>
  <si>
    <t>Apr.28-May.28/26</t>
  </si>
  <si>
    <t>Apr.4-May.3/26</t>
  </si>
  <si>
    <t>Apr.25-May.24/26</t>
  </si>
  <si>
    <t>Apr.21-May.20/26</t>
  </si>
  <si>
    <t>Apr.3-May.2/26</t>
  </si>
  <si>
    <t>Apr.2-May.1/26</t>
  </si>
  <si>
    <t>30--Apr-26</t>
  </si>
  <si>
    <t>Apr.13-May.12/26</t>
  </si>
  <si>
    <r>
      <t>Sandrine Jammeka Mariano</t>
    </r>
    <r>
      <rPr>
        <sz val="8"/>
        <color rgb="FFFF0000"/>
        <rFont val="Arial"/>
        <family val="2"/>
      </rPr>
      <t xml:space="preserve"> INV.#5149</t>
    </r>
  </si>
  <si>
    <r>
      <t>Mireel Fatima Parcarey</t>
    </r>
    <r>
      <rPr>
        <sz val="8"/>
        <color rgb="FFFF0000"/>
        <rFont val="Arial"/>
        <family val="2"/>
      </rPr>
      <t>INV.#5155</t>
    </r>
  </si>
  <si>
    <t>Apr. 15/26</t>
  </si>
  <si>
    <t>Apr.15/26</t>
  </si>
  <si>
    <r>
      <t xml:space="preserve">Eunice Francisco </t>
    </r>
    <r>
      <rPr>
        <sz val="8"/>
        <color rgb="FFFF0000"/>
        <rFont val="Arial"/>
        <family val="2"/>
      </rPr>
      <t>INV.#5159</t>
    </r>
  </si>
  <si>
    <r>
      <t>Ron Juliene Dominguino</t>
    </r>
    <r>
      <rPr>
        <sz val="8"/>
        <color rgb="FFFF0000"/>
        <rFont val="Arial"/>
        <family val="2"/>
      </rPr>
      <t>INV.#5162</t>
    </r>
  </si>
  <si>
    <t>Apr.26/26</t>
  </si>
  <si>
    <t>Janna Berlarmino</t>
  </si>
  <si>
    <t>Apr.12-May.11/26</t>
  </si>
  <si>
    <t>Apr.12/26</t>
  </si>
  <si>
    <r>
      <t xml:space="preserve">Lobby Toor </t>
    </r>
    <r>
      <rPr>
        <sz val="8"/>
        <color rgb="FFFF0000"/>
        <rFont val="Arial"/>
        <family val="2"/>
      </rPr>
      <t>INV#5165</t>
    </r>
  </si>
  <si>
    <r>
      <t xml:space="preserve">Jade Marmol  </t>
    </r>
    <r>
      <rPr>
        <sz val="8"/>
        <color rgb="FFFF0000"/>
        <rFont val="Arial"/>
        <family val="2"/>
      </rPr>
      <t>INV#5168</t>
    </r>
  </si>
  <si>
    <r>
      <t xml:space="preserve">Daryl Rivero </t>
    </r>
    <r>
      <rPr>
        <sz val="8"/>
        <color rgb="FFFF0000"/>
        <rFont val="Arial"/>
        <family val="2"/>
      </rPr>
      <t>INV#5163</t>
    </r>
  </si>
  <si>
    <r>
      <t>Princess Lana Aviso</t>
    </r>
    <r>
      <rPr>
        <sz val="8"/>
        <color rgb="FFC00000"/>
        <rFont val="Arial"/>
        <family val="2"/>
      </rPr>
      <t xml:space="preserve"> INV#5156</t>
    </r>
  </si>
  <si>
    <r>
      <rPr>
        <sz val="8"/>
        <rFont val="Arial"/>
        <family val="2"/>
      </rPr>
      <t>Alberto Mestiola</t>
    </r>
    <r>
      <rPr>
        <sz val="8"/>
        <color rgb="FFFF0000"/>
        <rFont val="Arial"/>
        <family val="2"/>
      </rPr>
      <t xml:space="preserve"> INV#5160</t>
    </r>
  </si>
  <si>
    <r>
      <t xml:space="preserve">Monica Bea Cabais </t>
    </r>
    <r>
      <rPr>
        <sz val="8"/>
        <color rgb="FFFF0000"/>
        <rFont val="Arial"/>
        <family val="2"/>
      </rPr>
      <t>INV#5166</t>
    </r>
  </si>
  <si>
    <r>
      <t>Nikki Prollamante</t>
    </r>
    <r>
      <rPr>
        <sz val="8"/>
        <color rgb="FFFF0000"/>
        <rFont val="Arial"/>
        <family val="2"/>
      </rPr>
      <t>INV#5158</t>
    </r>
  </si>
  <si>
    <r>
      <t xml:space="preserve">Krishnaveni </t>
    </r>
    <r>
      <rPr>
        <sz val="9"/>
        <color rgb="FFFF0000"/>
        <rFont val="Arial"/>
        <family val="2"/>
      </rPr>
      <t>INV#5164</t>
    </r>
  </si>
  <si>
    <r>
      <t xml:space="preserve">Joan Rejuso </t>
    </r>
    <r>
      <rPr>
        <sz val="9"/>
        <color rgb="FFFF0000"/>
        <rFont val="Arial"/>
        <family val="2"/>
      </rPr>
      <t>INV#5167</t>
    </r>
  </si>
  <si>
    <r>
      <t xml:space="preserve">EJ Millare </t>
    </r>
    <r>
      <rPr>
        <sz val="9"/>
        <color rgb="FFFF0000"/>
        <rFont val="Arial"/>
        <family val="2"/>
      </rPr>
      <t>INV#5173</t>
    </r>
  </si>
  <si>
    <r>
      <t>France Sacueza</t>
    </r>
    <r>
      <rPr>
        <sz val="9"/>
        <color rgb="FFFF0000"/>
        <rFont val="Arial"/>
        <family val="2"/>
      </rPr>
      <t xml:space="preserve"> INV#5172</t>
    </r>
  </si>
  <si>
    <r>
      <t xml:space="preserve">Grace Trina metillo </t>
    </r>
    <r>
      <rPr>
        <sz val="8"/>
        <color rgb="FFFF0000"/>
        <rFont val="Arial"/>
        <family val="2"/>
      </rPr>
      <t>INV#5169</t>
    </r>
  </si>
  <si>
    <r>
      <t xml:space="preserve">Gupreet Sigh </t>
    </r>
    <r>
      <rPr>
        <sz val="9"/>
        <color rgb="FFFF0000"/>
        <rFont val="Arial"/>
        <family val="2"/>
      </rPr>
      <t>INV#5171</t>
    </r>
  </si>
  <si>
    <r>
      <t>Bob Dumas</t>
    </r>
    <r>
      <rPr>
        <sz val="9"/>
        <color rgb="FFFF0000"/>
        <rFont val="Arial"/>
        <family val="2"/>
      </rPr>
      <t xml:space="preserve"> INV#5170</t>
    </r>
  </si>
  <si>
    <r>
      <t>Alejandro Delarosa</t>
    </r>
    <r>
      <rPr>
        <sz val="8"/>
        <color rgb="FFC00000"/>
        <rFont val="Arial"/>
        <family val="2"/>
      </rPr>
      <t xml:space="preserve"> INV#5157</t>
    </r>
  </si>
  <si>
    <r>
      <t xml:space="preserve">Ryean Anika Abetria </t>
    </r>
    <r>
      <rPr>
        <sz val="8"/>
        <color rgb="FFFF0000"/>
        <rFont val="Arial"/>
        <family val="2"/>
      </rPr>
      <t>INV#5161</t>
    </r>
  </si>
  <si>
    <r>
      <t xml:space="preserve">Princess Lana Aviso </t>
    </r>
    <r>
      <rPr>
        <sz val="8"/>
        <color rgb="FFFF0000"/>
        <rFont val="Arial"/>
        <family val="2"/>
      </rPr>
      <t>INV#5140</t>
    </r>
  </si>
  <si>
    <r>
      <t>Bob Dumas</t>
    </r>
    <r>
      <rPr>
        <sz val="9"/>
        <color rgb="FFFF0000"/>
        <rFont val="Arial"/>
        <family val="2"/>
      </rPr>
      <t xml:space="preserve"> INV#5153</t>
    </r>
  </si>
  <si>
    <r>
      <t xml:space="preserve">Monica Bea Cabais </t>
    </r>
    <r>
      <rPr>
        <sz val="8"/>
        <color rgb="FFFF0000"/>
        <rFont val="Arial"/>
        <family val="2"/>
      </rPr>
      <t>INV#5151</t>
    </r>
  </si>
  <si>
    <r>
      <t xml:space="preserve">Gupreet Sigh </t>
    </r>
    <r>
      <rPr>
        <sz val="9"/>
        <color rgb="FFFF0000"/>
        <rFont val="Arial"/>
        <family val="2"/>
      </rPr>
      <t>INV#5154</t>
    </r>
  </si>
  <si>
    <r>
      <t xml:space="preserve">Grace Trina metillo </t>
    </r>
    <r>
      <rPr>
        <sz val="8"/>
        <color rgb="FFFF0000"/>
        <rFont val="Arial"/>
        <family val="2"/>
      </rPr>
      <t>INV#5145</t>
    </r>
  </si>
  <si>
    <r>
      <t>France Sacueza</t>
    </r>
    <r>
      <rPr>
        <sz val="9"/>
        <color rgb="FFFF0000"/>
        <rFont val="Arial"/>
        <family val="2"/>
      </rPr>
      <t xml:space="preserve"> INV#5152</t>
    </r>
  </si>
  <si>
    <r>
      <t xml:space="preserve">EJ Millare </t>
    </r>
    <r>
      <rPr>
        <sz val="9"/>
        <color rgb="FFFF0000"/>
        <rFont val="Arial"/>
        <family val="2"/>
      </rPr>
      <t>INV#5150</t>
    </r>
  </si>
  <si>
    <r>
      <t xml:space="preserve">Joan Rejuso </t>
    </r>
    <r>
      <rPr>
        <sz val="9"/>
        <color rgb="FFFF0000"/>
        <rFont val="Arial"/>
        <family val="2"/>
      </rPr>
      <t>INV#5148</t>
    </r>
  </si>
  <si>
    <r>
      <t xml:space="preserve">Krishnaveni </t>
    </r>
    <r>
      <rPr>
        <sz val="9"/>
        <color rgb="FFFF0000"/>
        <rFont val="Arial"/>
        <family val="2"/>
      </rPr>
      <t>INV#5143</t>
    </r>
  </si>
  <si>
    <r>
      <t>Nikki Prollamante</t>
    </r>
    <r>
      <rPr>
        <sz val="8"/>
        <color rgb="FFFF0000"/>
        <rFont val="Arial"/>
        <family val="2"/>
      </rPr>
      <t>INV#5136</t>
    </r>
  </si>
  <si>
    <r>
      <t>Jester Bataller I</t>
    </r>
    <r>
      <rPr>
        <sz val="8"/>
        <color rgb="FFFF0000"/>
        <rFont val="Arial"/>
        <family val="2"/>
      </rPr>
      <t>NV#5137</t>
    </r>
  </si>
  <si>
    <r>
      <t xml:space="preserve">Alejandro Delarosa </t>
    </r>
    <r>
      <rPr>
        <sz val="8"/>
        <color rgb="FFC00000"/>
        <rFont val="Arial"/>
        <family val="2"/>
      </rPr>
      <t>INV#5139</t>
    </r>
  </si>
  <si>
    <r>
      <rPr>
        <sz val="8"/>
        <rFont val="Arial"/>
        <family val="2"/>
      </rPr>
      <t>Alberto Mestiola</t>
    </r>
    <r>
      <rPr>
        <sz val="8"/>
        <color rgb="FFFF0000"/>
        <rFont val="Arial"/>
        <family val="2"/>
      </rPr>
      <t xml:space="preserve"> INV#5147</t>
    </r>
  </si>
  <si>
    <t>MAY  2026"</t>
  </si>
  <si>
    <t>May.7-Jun.6/26</t>
  </si>
  <si>
    <t>May. 29-Jun.28/26</t>
  </si>
  <si>
    <t>May.26-Jun.25/26</t>
  </si>
  <si>
    <t>May.9-Jun.8/26</t>
  </si>
  <si>
    <t>May.15-Jun.14/26</t>
  </si>
  <si>
    <t>May.28-Jun.27/26</t>
  </si>
  <si>
    <t>May.1-30/26</t>
  </si>
  <si>
    <t>May.10-jun.9/26</t>
  </si>
  <si>
    <t>May.28-Jun.28/26</t>
  </si>
  <si>
    <t>May.4-Jun.3/26</t>
  </si>
  <si>
    <t>May.15-un.14/26</t>
  </si>
  <si>
    <t>May.1-31/26</t>
  </si>
  <si>
    <t>May.25-Jun.24/26</t>
  </si>
  <si>
    <t>May.21-Jun.20/26</t>
  </si>
  <si>
    <t>May.3-Jun.2/26</t>
  </si>
  <si>
    <t>May.12-Jun.11/26</t>
  </si>
  <si>
    <t>May.2-Jun.1/26</t>
  </si>
  <si>
    <t>May.13-Jun.12/26</t>
  </si>
  <si>
    <r>
      <t>Mireel Fatima Parcarey</t>
    </r>
    <r>
      <rPr>
        <sz val="8"/>
        <color rgb="FFFF0000"/>
        <rFont val="Arial"/>
        <family val="2"/>
      </rPr>
      <t>INV.#5174</t>
    </r>
  </si>
  <si>
    <r>
      <t>Sandrine Jammeka Mariano</t>
    </r>
    <r>
      <rPr>
        <sz val="8"/>
        <color rgb="FFFF0000"/>
        <rFont val="Arial"/>
        <family val="2"/>
      </rPr>
      <t xml:space="preserve"> INV.#5175</t>
    </r>
  </si>
  <si>
    <r>
      <t>Nikki Prollamante</t>
    </r>
    <r>
      <rPr>
        <sz val="8"/>
        <color rgb="FFFF0000"/>
        <rFont val="Arial"/>
        <family val="2"/>
      </rPr>
      <t>INV#5176</t>
    </r>
  </si>
  <si>
    <r>
      <t>Princess Lana Aviso</t>
    </r>
    <r>
      <rPr>
        <sz val="8"/>
        <color rgb="FFC00000"/>
        <rFont val="Arial"/>
        <family val="2"/>
      </rPr>
      <t xml:space="preserve"> INV#5177</t>
    </r>
  </si>
  <si>
    <r>
      <t>Trisha Nicole Bellio</t>
    </r>
    <r>
      <rPr>
        <sz val="8"/>
        <color rgb="FFFF0000"/>
        <rFont val="Arial"/>
        <family val="2"/>
      </rPr>
      <t xml:space="preserve"> INV#5178</t>
    </r>
  </si>
  <si>
    <t>May 28-Jun.27/26</t>
  </si>
  <si>
    <t>May 28/26</t>
  </si>
  <si>
    <r>
      <t>France Sacueza</t>
    </r>
    <r>
      <rPr>
        <sz val="9"/>
        <color rgb="FFFF0000"/>
        <rFont val="Arial"/>
        <family val="2"/>
      </rPr>
      <t xml:space="preserve"> INV#5179</t>
    </r>
  </si>
  <si>
    <r>
      <t xml:space="preserve">EJ Millare </t>
    </r>
    <r>
      <rPr>
        <sz val="9"/>
        <color rgb="FFFF0000"/>
        <rFont val="Arial"/>
        <family val="2"/>
      </rPr>
      <t>INV#5192</t>
    </r>
  </si>
  <si>
    <r>
      <t>Bob Dumas</t>
    </r>
    <r>
      <rPr>
        <sz val="9"/>
        <color rgb="FFFF0000"/>
        <rFont val="Arial"/>
        <family val="2"/>
      </rPr>
      <t xml:space="preserve"> INV#5180</t>
    </r>
  </si>
  <si>
    <r>
      <t xml:space="preserve">Daryl Rivero </t>
    </r>
    <r>
      <rPr>
        <sz val="8"/>
        <color rgb="FFFF0000"/>
        <rFont val="Arial"/>
        <family val="2"/>
      </rPr>
      <t>INV#5181</t>
    </r>
  </si>
  <si>
    <r>
      <t>Alejandro Delarosa</t>
    </r>
    <r>
      <rPr>
        <sz val="8"/>
        <color rgb="FFC00000"/>
        <rFont val="Arial"/>
        <family val="2"/>
      </rPr>
      <t xml:space="preserve"> INV#5182</t>
    </r>
  </si>
  <si>
    <r>
      <t xml:space="preserve">Grace Trina metillo </t>
    </r>
    <r>
      <rPr>
        <sz val="8"/>
        <color rgb="FFFF0000"/>
        <rFont val="Arial"/>
        <family val="2"/>
      </rPr>
      <t>INV#5183</t>
    </r>
  </si>
  <si>
    <r>
      <t xml:space="preserve">Ryean Anika Abetria </t>
    </r>
    <r>
      <rPr>
        <sz val="8"/>
        <color rgb="FFFF0000"/>
        <rFont val="Arial"/>
        <family val="2"/>
      </rPr>
      <t>INV#5184</t>
    </r>
  </si>
  <si>
    <r>
      <t xml:space="preserve">Jade Marmol  </t>
    </r>
    <r>
      <rPr>
        <sz val="8"/>
        <color rgb="FFFF0000"/>
        <rFont val="Arial"/>
        <family val="2"/>
      </rPr>
      <t>INV#5185</t>
    </r>
  </si>
  <si>
    <r>
      <t xml:space="preserve">Joan Rejuso </t>
    </r>
    <r>
      <rPr>
        <sz val="9"/>
        <color rgb="FFFF0000"/>
        <rFont val="Arial"/>
        <family val="2"/>
      </rPr>
      <t>INV#5186</t>
    </r>
  </si>
  <si>
    <r>
      <t xml:space="preserve">Krishnaveni </t>
    </r>
    <r>
      <rPr>
        <sz val="9"/>
        <color rgb="FFFF0000"/>
        <rFont val="Arial"/>
        <family val="2"/>
      </rPr>
      <t>INV#5187</t>
    </r>
  </si>
  <si>
    <r>
      <t>Ron Juliene Dominguino</t>
    </r>
    <r>
      <rPr>
        <sz val="8"/>
        <color rgb="FFFF0000"/>
        <rFont val="Arial"/>
        <family val="2"/>
      </rPr>
      <t>INV.#5188</t>
    </r>
  </si>
  <si>
    <r>
      <t xml:space="preserve">Monica Bea Cabais </t>
    </r>
    <r>
      <rPr>
        <sz val="8"/>
        <color rgb="FFFF0000"/>
        <rFont val="Arial"/>
        <family val="2"/>
      </rPr>
      <t>INV#5190</t>
    </r>
  </si>
  <si>
    <r>
      <t xml:space="preserve">Eunice Francisco </t>
    </r>
    <r>
      <rPr>
        <sz val="8"/>
        <color rgb="FFFF0000"/>
        <rFont val="Arial"/>
        <family val="2"/>
      </rPr>
      <t>INV.#5191</t>
    </r>
  </si>
  <si>
    <r>
      <rPr>
        <sz val="8"/>
        <rFont val="Arial"/>
        <family val="2"/>
      </rPr>
      <t>Alberto Mestiola</t>
    </r>
    <r>
      <rPr>
        <sz val="8"/>
        <color rgb="FFFF0000"/>
        <rFont val="Arial"/>
        <family val="2"/>
      </rPr>
      <t xml:space="preserve"> INV#5193</t>
    </r>
  </si>
  <si>
    <r>
      <t xml:space="preserve">Gupreet Sigh </t>
    </r>
    <r>
      <rPr>
        <sz val="9"/>
        <color rgb="FFFF0000"/>
        <rFont val="Arial"/>
        <family val="2"/>
      </rPr>
      <t>INV#5194</t>
    </r>
  </si>
  <si>
    <t>Yashano Mall</t>
  </si>
  <si>
    <t>New Daraga diy (pump penthouse</t>
  </si>
  <si>
    <t>Manson Trading(penthouse pump)</t>
  </si>
  <si>
    <t>Labor (apr.27-may.2)Randy</t>
  </si>
  <si>
    <t>Labor (apr.27-may.2)Jonard</t>
  </si>
  <si>
    <t>O Save Everyday</t>
  </si>
  <si>
    <t>Orlink Enterprises (CCTV)</t>
  </si>
  <si>
    <t xml:space="preserve">April Electricbill </t>
  </si>
  <si>
    <t>F2G Petroluem Marketer</t>
  </si>
  <si>
    <t>Wilcon Depot Inc.(unit 3b)repair</t>
  </si>
  <si>
    <t>Money given to Dianna Madix</t>
  </si>
  <si>
    <t>Labor (may 4-9) Randy Millete</t>
  </si>
  <si>
    <t>Labor (may 4-9) Jonard Granadillos</t>
  </si>
  <si>
    <t>Eoridge Gas Station</t>
  </si>
  <si>
    <t>Wilcon Depot inc.</t>
  </si>
  <si>
    <t>Legazpi Water Distric (apr.26)</t>
  </si>
  <si>
    <t>Caltex (genset)</t>
  </si>
  <si>
    <t>Gaite Service Station</t>
  </si>
  <si>
    <t xml:space="preserve">LCC Supermarket </t>
  </si>
  <si>
    <t>Wilcon Depot Inc.(front rooftop )</t>
  </si>
  <si>
    <t>Al-Sur Trading (front rooftop)</t>
  </si>
  <si>
    <t>Eonridge Gas Station</t>
  </si>
  <si>
    <t>Labor (may 11-16)Randy Millete</t>
  </si>
  <si>
    <t>Labor (may 11-16)Jonard Granadillos</t>
  </si>
  <si>
    <t>Labor (may 18-23)Randy Millete</t>
  </si>
  <si>
    <t>Labor (may 18-23)Jonard Granadillos</t>
  </si>
  <si>
    <t>Petron</t>
  </si>
  <si>
    <t>Wilcon Depot Inc.(rooftopfront)</t>
  </si>
  <si>
    <t>SSS (Michelle)Apr.26</t>
  </si>
  <si>
    <t>Asian Auto (aircon vios)</t>
  </si>
  <si>
    <t xml:space="preserve">Swing Rattan </t>
  </si>
  <si>
    <t>Laborand itc. car aircon (Jomark Granadillos)</t>
  </si>
  <si>
    <t xml:space="preserve">Weatherhead Marketing </t>
  </si>
  <si>
    <t>Labor swing Randy Millete</t>
  </si>
  <si>
    <t>Labor swing Jonard Granadillos</t>
  </si>
  <si>
    <t>Gasolina Petronio</t>
  </si>
  <si>
    <t>Wilcon Depot (mh)</t>
  </si>
  <si>
    <t xml:space="preserve">Cheyenne Construction  </t>
  </si>
  <si>
    <t>Labor (may 25-30) Randy Millete</t>
  </si>
  <si>
    <t>Labor (may 25-30) Jonard Granadillos</t>
  </si>
  <si>
    <t>Manson Trading (bh)</t>
  </si>
  <si>
    <t>Salaries (michelle)May.1-31,2026)</t>
  </si>
  <si>
    <t>JUNE  2026"</t>
  </si>
  <si>
    <t>Jun.7-Jul.6/26</t>
  </si>
  <si>
    <t>Jun. 29-Jul.28/26</t>
  </si>
  <si>
    <t>Jun.26-Jul.25/26</t>
  </si>
  <si>
    <t>Jun.9-Jul.8/26</t>
  </si>
  <si>
    <t>Jun.15-Jul.14/26</t>
  </si>
  <si>
    <t>Jun.28-Jul.27/26</t>
  </si>
  <si>
    <t>Jun 28-Jul.27/26</t>
  </si>
  <si>
    <t>Jun.1-30/26</t>
  </si>
  <si>
    <t>Jun.10-jul.9/26</t>
  </si>
  <si>
    <t>Jun.28-Jul.28/26</t>
  </si>
  <si>
    <t>Jun.4-Jul.3/26</t>
  </si>
  <si>
    <t>Jun.25-Jul.24/26</t>
  </si>
  <si>
    <t>Jun.21-Jul.20/26</t>
  </si>
  <si>
    <t>Jun.3-Jul.2/26</t>
  </si>
  <si>
    <t>Jun.12-Jul.11/26</t>
  </si>
  <si>
    <t>Jun.2-Jul.1/26</t>
  </si>
  <si>
    <t>Jun.13-Jul.12/26</t>
  </si>
  <si>
    <r>
      <rPr>
        <sz val="9"/>
        <rFont val="Arial"/>
        <family val="2"/>
      </rPr>
      <t>Christine Golpeo</t>
    </r>
    <r>
      <rPr>
        <sz val="9"/>
        <color rgb="FFFF0000"/>
        <rFont val="Arial"/>
        <family val="2"/>
      </rPr>
      <t xml:space="preserve"> INV#5195</t>
    </r>
  </si>
  <si>
    <t>July 15/26</t>
  </si>
  <si>
    <r>
      <t>Sandrine Jammeka Mariano</t>
    </r>
    <r>
      <rPr>
        <sz val="8"/>
        <color rgb="FFFF0000"/>
        <rFont val="Arial"/>
        <family val="2"/>
      </rPr>
      <t xml:space="preserve"> INV.#5196</t>
    </r>
  </si>
  <si>
    <r>
      <t>Nikki Prollamante</t>
    </r>
    <r>
      <rPr>
        <sz val="8"/>
        <color rgb="FFFF0000"/>
        <rFont val="Arial"/>
        <family val="2"/>
      </rPr>
      <t>INV#5197</t>
    </r>
  </si>
  <si>
    <r>
      <t xml:space="preserve">Sian Danver Morta </t>
    </r>
    <r>
      <rPr>
        <sz val="9"/>
        <color rgb="FFFF0000"/>
        <rFont val="Arial"/>
        <family val="2"/>
      </rPr>
      <t>INV#5198</t>
    </r>
  </si>
  <si>
    <t>Jun.26/26</t>
  </si>
  <si>
    <r>
      <t xml:space="preserve">Myra Cadag </t>
    </r>
    <r>
      <rPr>
        <sz val="8"/>
        <color rgb="FFFF0000"/>
        <rFont val="Arial"/>
        <family val="2"/>
      </rPr>
      <t>INV#5199</t>
    </r>
  </si>
  <si>
    <t>Jun.28/26</t>
  </si>
  <si>
    <r>
      <t>Mireel Fatima Parcarey</t>
    </r>
    <r>
      <rPr>
        <sz val="8"/>
        <color rgb="FFFF0000"/>
        <rFont val="Arial"/>
        <family val="2"/>
      </rPr>
      <t>INV.#5200</t>
    </r>
  </si>
  <si>
    <r>
      <t>Trisha Nicole Bellio</t>
    </r>
    <r>
      <rPr>
        <sz val="8"/>
        <color rgb="FFFF0000"/>
        <rFont val="Arial"/>
        <family val="2"/>
      </rPr>
      <t xml:space="preserve"> INV#5201</t>
    </r>
  </si>
  <si>
    <r>
      <t>Bob Dumas</t>
    </r>
    <r>
      <rPr>
        <sz val="9"/>
        <color rgb="FFFF0000"/>
        <rFont val="Arial"/>
        <family val="2"/>
      </rPr>
      <t xml:space="preserve"> INV#5202</t>
    </r>
  </si>
  <si>
    <r>
      <t>Ron Juliene Dominguino</t>
    </r>
    <r>
      <rPr>
        <sz val="8"/>
        <color rgb="FFFF0000"/>
        <rFont val="Arial"/>
        <family val="2"/>
      </rPr>
      <t>INV.#5203</t>
    </r>
  </si>
  <si>
    <r>
      <t>Alejandro Delarosa</t>
    </r>
    <r>
      <rPr>
        <sz val="8"/>
        <color rgb="FFC00000"/>
        <rFont val="Arial"/>
        <family val="2"/>
      </rPr>
      <t xml:space="preserve"> INV#5204</t>
    </r>
  </si>
  <si>
    <t>Cheyenne Contruction</t>
  </si>
  <si>
    <t>Electricbill (May26)</t>
  </si>
  <si>
    <t xml:space="preserve">Labor (jun 1-6)RoofFront appt.Randy </t>
  </si>
  <si>
    <t>Labor (jun 1-6)RoofFront appt.Jonard</t>
  </si>
  <si>
    <t>Legazpi Water Distric (may)</t>
  </si>
  <si>
    <t>Jemrey Builders (bh)</t>
  </si>
  <si>
    <t>Hong Enterprises (bh)</t>
  </si>
  <si>
    <t>Philhealth (apr -jun)michelle</t>
  </si>
  <si>
    <t>5808 Enterprises (bh)</t>
  </si>
  <si>
    <t>Asian Auto repair (vios)</t>
  </si>
  <si>
    <t>Autoline auto part (vios)</t>
  </si>
  <si>
    <t>Labor (Randy)jun.8-13 (bh)</t>
  </si>
  <si>
    <t>Labor (Jonard)jun.8-13 (bh)</t>
  </si>
  <si>
    <t>Ingoy (repair vios)</t>
  </si>
  <si>
    <t xml:space="preserve">Electrical vios car </t>
  </si>
  <si>
    <t>Viscara (coke)</t>
  </si>
  <si>
    <t>Bicol Siyaman Food (coffee)</t>
  </si>
  <si>
    <t>Miniso</t>
  </si>
  <si>
    <t>Converge Load (Enternit)</t>
  </si>
  <si>
    <t>David Salon (fe haircut)</t>
  </si>
  <si>
    <t>Labor (jun.15-20) Randy (bh)</t>
  </si>
  <si>
    <t>Labor (jun.15-20) Jonard (bh)</t>
  </si>
  <si>
    <t>Metro gaisano (fan)</t>
  </si>
  <si>
    <t>Jetti vios</t>
  </si>
  <si>
    <t>SSS (michelle) may 26</t>
  </si>
  <si>
    <t>Labor (Jun.20-25)bh Randy</t>
  </si>
  <si>
    <t>Labor (Jun.20-25)bh Jonard</t>
  </si>
  <si>
    <t>LCC Food to go</t>
  </si>
  <si>
    <t>Labor (jun.22-27) Randy</t>
  </si>
  <si>
    <t>Labor (jun.22-27) Jonard</t>
  </si>
  <si>
    <t>Al-Sur trading (front stair)</t>
  </si>
  <si>
    <t>Gallego Pebbles</t>
  </si>
  <si>
    <t>Legazpi Champion (vios repair)</t>
  </si>
  <si>
    <t xml:space="preserve">Labor </t>
  </si>
  <si>
    <t>FPBJ Baterry (vios )</t>
  </si>
  <si>
    <t>Salaries (michelle)Jun.1-30,2026)</t>
  </si>
  <si>
    <t xml:space="preserve">TOTAL </t>
  </si>
  <si>
    <t>Hong Enterprises (luz)</t>
  </si>
  <si>
    <t>OJO (fe eyeglasess)</t>
  </si>
  <si>
    <t>Wilcon (mh cr)</t>
  </si>
  <si>
    <t>Electricbill (June 26)</t>
  </si>
  <si>
    <t>Jetti (vios gaz)</t>
  </si>
  <si>
    <t>Sun Pacific Ventture</t>
  </si>
  <si>
    <t>Misibis (guess)</t>
  </si>
  <si>
    <t>Misibis resort</t>
  </si>
  <si>
    <t>Legazpi Water Distric (June 26)</t>
  </si>
  <si>
    <t>PAL ticket (fe)</t>
  </si>
  <si>
    <t>Boss Caffee</t>
  </si>
  <si>
    <t>Mac-do</t>
  </si>
  <si>
    <t>Prime South Enterprises (vios gaz)</t>
  </si>
  <si>
    <t xml:space="preserve">Metro Gaisano </t>
  </si>
  <si>
    <t>Wilcon (bh)</t>
  </si>
  <si>
    <t>Wilcon (f2F</t>
  </si>
  <si>
    <t>Bestbake (sanseval cake)</t>
  </si>
  <si>
    <t>Atty.Basaltan  (linda last will)</t>
  </si>
  <si>
    <t>Linda SPA to Michelle</t>
  </si>
  <si>
    <t>Payroll (July 14-16)unit 2c ,3g</t>
  </si>
  <si>
    <t xml:space="preserve">Randy Millete </t>
  </si>
  <si>
    <t xml:space="preserve">Jonard Granadillos </t>
  </si>
  <si>
    <t>Joshua Atianza</t>
  </si>
  <si>
    <t>Payroll (july 17-18) f2f</t>
  </si>
  <si>
    <t>Wilcon (f2f)</t>
  </si>
  <si>
    <t>Money given to fe (manila)</t>
  </si>
  <si>
    <t>SSS (michelle) June 26</t>
  </si>
  <si>
    <t>Wilcon (b3f)</t>
  </si>
  <si>
    <t>Triple Hardware (b3f)</t>
  </si>
  <si>
    <t>Payroll (jul.20-25</t>
  </si>
  <si>
    <t>Cigarette (fe)</t>
  </si>
  <si>
    <t>Jetti (vios Gas)</t>
  </si>
  <si>
    <t>Certified True Copy (fe citizenship)</t>
  </si>
  <si>
    <t>Wilcon (bH)</t>
  </si>
  <si>
    <t>LCC</t>
  </si>
  <si>
    <t>Gallego Pebbles (front appt.stair)</t>
  </si>
  <si>
    <t>Legazpi Grace Home (bh)</t>
  </si>
  <si>
    <t>Faith Healer</t>
  </si>
  <si>
    <t>F2G Petroluem Marketer (vios)</t>
  </si>
  <si>
    <t>Salaries (michelle)Jul.1-31,2026)</t>
  </si>
  <si>
    <t xml:space="preserve">TOTALS </t>
  </si>
  <si>
    <t xml:space="preserve">              JULY</t>
  </si>
  <si>
    <t xml:space="preserve">                                                  6b</t>
  </si>
  <si>
    <t>PAID</t>
  </si>
  <si>
    <t xml:space="preserve"> 4-Jul-26</t>
  </si>
  <si>
    <r>
      <t xml:space="preserve">Grace Trina metillo </t>
    </r>
    <r>
      <rPr>
        <sz val="8"/>
        <color rgb="FFFF0000"/>
        <rFont val="Arial"/>
        <family val="2"/>
      </rPr>
      <t>INV#5205</t>
    </r>
  </si>
  <si>
    <r>
      <t xml:space="preserve">Daryl Rivero </t>
    </r>
    <r>
      <rPr>
        <sz val="8"/>
        <color rgb="FFFF0000"/>
        <rFont val="Arial"/>
        <family val="2"/>
      </rPr>
      <t>INV#5206</t>
    </r>
  </si>
  <si>
    <r>
      <t xml:space="preserve">Joan Rejuso </t>
    </r>
    <r>
      <rPr>
        <sz val="9"/>
        <color rgb="FFFF0000"/>
        <rFont val="Arial"/>
        <family val="2"/>
      </rPr>
      <t>INV#5207</t>
    </r>
  </si>
  <si>
    <r>
      <t xml:space="preserve">Lobby Toor </t>
    </r>
    <r>
      <rPr>
        <sz val="8"/>
        <color rgb="FFFF0000"/>
        <rFont val="Arial"/>
        <family val="2"/>
      </rPr>
      <t>INV#5208</t>
    </r>
  </si>
  <si>
    <r>
      <t xml:space="preserve">Jade Marmol  </t>
    </r>
    <r>
      <rPr>
        <sz val="8"/>
        <color rgb="FFFF0000"/>
        <rFont val="Arial"/>
        <family val="2"/>
      </rPr>
      <t>INV#5209</t>
    </r>
  </si>
  <si>
    <r>
      <t xml:space="preserve">Gupreet Sigh </t>
    </r>
    <r>
      <rPr>
        <sz val="9"/>
        <color rgb="FFFF0000"/>
        <rFont val="Arial"/>
        <family val="2"/>
      </rPr>
      <t>INV#5210</t>
    </r>
  </si>
  <si>
    <r>
      <rPr>
        <sz val="8"/>
        <rFont val="Arial"/>
        <family val="2"/>
      </rPr>
      <t>Alberto Mestiola</t>
    </r>
    <r>
      <rPr>
        <sz val="8"/>
        <color rgb="FFFF0000"/>
        <rFont val="Arial"/>
        <family val="2"/>
      </rPr>
      <t xml:space="preserve"> INV#5211</t>
    </r>
  </si>
  <si>
    <r>
      <t>Princess Lana Aviso</t>
    </r>
    <r>
      <rPr>
        <sz val="8"/>
        <color rgb="FFC00000"/>
        <rFont val="Arial"/>
        <family val="2"/>
      </rPr>
      <t xml:space="preserve"> INV#52</t>
    </r>
    <r>
      <rPr>
        <sz val="8"/>
        <color rgb="FFFF0000"/>
        <rFont val="Arial"/>
        <family val="2"/>
      </rPr>
      <t>13</t>
    </r>
  </si>
  <si>
    <r>
      <t xml:space="preserve">Monica Bea Cabais </t>
    </r>
    <r>
      <rPr>
        <sz val="8"/>
        <color rgb="FFFF0000"/>
        <rFont val="Arial"/>
        <family val="2"/>
      </rPr>
      <t>INV#5214</t>
    </r>
  </si>
  <si>
    <r>
      <t xml:space="preserve">Eunice Francisco </t>
    </r>
    <r>
      <rPr>
        <sz val="8"/>
        <color rgb="FFFF0000"/>
        <rFont val="Arial"/>
        <family val="2"/>
      </rPr>
      <t>INV.#5216</t>
    </r>
  </si>
  <si>
    <t>JULY  2026"</t>
  </si>
  <si>
    <t>Jul.7-Aug.6/26</t>
  </si>
  <si>
    <t>Jul. 29-Aug.28/26</t>
  </si>
  <si>
    <t>Jul.26-Aug.25/26</t>
  </si>
  <si>
    <t>Jul.9-Aug.8/26</t>
  </si>
  <si>
    <t>Jul.15-Aug.14/26</t>
  </si>
  <si>
    <t>Jul.28-Aug.27/26</t>
  </si>
  <si>
    <t>Jul. 28-Aug.27/26</t>
  </si>
  <si>
    <t>Jul.1-31/26</t>
  </si>
  <si>
    <t>Jul.10-Aug.9/26</t>
  </si>
  <si>
    <t>Jul.28-Aug.28/26</t>
  </si>
  <si>
    <t>Jul.4-Aug.3/26</t>
  </si>
  <si>
    <t>Jul.25-Aug.24/26</t>
  </si>
  <si>
    <t>Jul.21-Aug.20/26</t>
  </si>
  <si>
    <t>Jul.3-Aug.2/26</t>
  </si>
  <si>
    <t>Jul.12-Aug.11/26</t>
  </si>
  <si>
    <t>Jul.13-Aug.12/26</t>
  </si>
  <si>
    <r>
      <t>Nikki Prollamante</t>
    </r>
    <r>
      <rPr>
        <sz val="8"/>
        <color rgb="FFFF0000"/>
        <rFont val="Arial"/>
        <family val="2"/>
      </rPr>
      <t>INV#5212</t>
    </r>
  </si>
  <si>
    <r>
      <t>Sandrine Jammeka Mariano</t>
    </r>
    <r>
      <rPr>
        <sz val="8"/>
        <color rgb="FFFF0000"/>
        <rFont val="Arial"/>
        <family val="2"/>
      </rPr>
      <t xml:space="preserve"> INV.#5215</t>
    </r>
  </si>
  <si>
    <r>
      <t>Ann Kristine Diaz</t>
    </r>
    <r>
      <rPr>
        <sz val="8"/>
        <color rgb="FFFF0000"/>
        <rFont val="Arial"/>
        <family val="2"/>
      </rPr>
      <t xml:space="preserve"> INV#5217</t>
    </r>
  </si>
  <si>
    <t>Jul.25/26</t>
  </si>
  <si>
    <r>
      <rPr>
        <sz val="9"/>
        <rFont val="Arial"/>
        <family val="2"/>
      </rPr>
      <t>Christine Golpeo</t>
    </r>
    <r>
      <rPr>
        <sz val="9"/>
        <color rgb="FFFF0000"/>
        <rFont val="Arial"/>
        <family val="2"/>
      </rPr>
      <t xml:space="preserve"> INV#5218</t>
    </r>
  </si>
  <si>
    <r>
      <t xml:space="preserve">Eunice Francisco </t>
    </r>
    <r>
      <rPr>
        <sz val="8"/>
        <color rgb="FFFF0000"/>
        <rFont val="Arial"/>
        <family val="2"/>
      </rPr>
      <t>INV.#5219</t>
    </r>
  </si>
  <si>
    <r>
      <t>Trisha Nicole Bellio</t>
    </r>
    <r>
      <rPr>
        <sz val="8"/>
        <color rgb="FFFF0000"/>
        <rFont val="Arial"/>
        <family val="2"/>
      </rPr>
      <t xml:space="preserve"> INV#5220</t>
    </r>
  </si>
  <si>
    <r>
      <t>Princess Lana Aviso</t>
    </r>
    <r>
      <rPr>
        <sz val="8"/>
        <color rgb="FFC00000"/>
        <rFont val="Arial"/>
        <family val="2"/>
      </rPr>
      <t xml:space="preserve"> INV#5221</t>
    </r>
  </si>
  <si>
    <r>
      <t>Alexa Allaine delapaz</t>
    </r>
    <r>
      <rPr>
        <sz val="9"/>
        <color rgb="FFFF0000"/>
        <rFont val="Arial"/>
        <family val="2"/>
      </rPr>
      <t xml:space="preserve"> INV#5222</t>
    </r>
  </si>
  <si>
    <t>Jul.30-Aug.29/26</t>
  </si>
  <si>
    <t>Jul.30/26</t>
  </si>
  <si>
    <r>
      <t>Mireel Fatima Parcarey</t>
    </r>
    <r>
      <rPr>
        <sz val="8"/>
        <color rgb="FFFF0000"/>
        <rFont val="Arial"/>
        <family val="2"/>
      </rPr>
      <t>INV.#5223</t>
    </r>
  </si>
  <si>
    <r>
      <t xml:space="preserve">Daryl Rivero </t>
    </r>
    <r>
      <rPr>
        <sz val="8"/>
        <color rgb="FFFF0000"/>
        <rFont val="Arial"/>
        <family val="2"/>
      </rPr>
      <t>INV#5224</t>
    </r>
  </si>
  <si>
    <r>
      <t xml:space="preserve">Joan Rejuso </t>
    </r>
    <r>
      <rPr>
        <sz val="9"/>
        <color rgb="FFFF0000"/>
        <rFont val="Arial"/>
        <family val="2"/>
      </rPr>
      <t>INV#5225</t>
    </r>
  </si>
  <si>
    <r>
      <t xml:space="preserve">Grace Trina metillo </t>
    </r>
    <r>
      <rPr>
        <sz val="8"/>
        <color rgb="FFFF0000"/>
        <rFont val="Arial"/>
        <family val="2"/>
      </rPr>
      <t>INV#5226</t>
    </r>
  </si>
  <si>
    <r>
      <t>Ron Juliene Dominguino</t>
    </r>
    <r>
      <rPr>
        <sz val="8"/>
        <color rgb="FFFF0000"/>
        <rFont val="Arial"/>
        <family val="2"/>
      </rPr>
      <t>INV.#5227</t>
    </r>
  </si>
  <si>
    <r>
      <t xml:space="preserve">Myra Cadag </t>
    </r>
    <r>
      <rPr>
        <sz val="8"/>
        <color rgb="FFFF0000"/>
        <rFont val="Arial"/>
        <family val="2"/>
      </rPr>
      <t>INV#5228</t>
    </r>
  </si>
  <si>
    <r>
      <t>Alejandro Delarosa</t>
    </r>
    <r>
      <rPr>
        <sz val="8"/>
        <color rgb="FFC00000"/>
        <rFont val="Arial"/>
        <family val="2"/>
      </rPr>
      <t xml:space="preserve"> INV#5229</t>
    </r>
  </si>
  <si>
    <r>
      <t xml:space="preserve">Monica Bea Cabais </t>
    </r>
    <r>
      <rPr>
        <sz val="8"/>
        <color rgb="FFFF0000"/>
        <rFont val="Arial"/>
        <family val="2"/>
      </rPr>
      <t>INV#5230</t>
    </r>
  </si>
  <si>
    <r>
      <rPr>
        <sz val="8"/>
        <rFont val="Arial"/>
        <family val="2"/>
      </rPr>
      <t>Alberto Mestiola</t>
    </r>
    <r>
      <rPr>
        <sz val="8"/>
        <color rgb="FFFF0000"/>
        <rFont val="Arial"/>
        <family val="2"/>
      </rPr>
      <t xml:space="preserve"> INV#5231</t>
    </r>
  </si>
  <si>
    <r>
      <t>Bob Dumas</t>
    </r>
    <r>
      <rPr>
        <sz val="9"/>
        <color rgb="FFFF0000"/>
        <rFont val="Arial"/>
        <family val="2"/>
      </rPr>
      <t xml:space="preserve"> INV#5232</t>
    </r>
  </si>
  <si>
    <r>
      <t xml:space="preserve">Sian Danver Morta </t>
    </r>
    <r>
      <rPr>
        <sz val="9"/>
        <color rgb="FFFF0000"/>
        <rFont val="Arial"/>
        <family val="2"/>
      </rPr>
      <t>INV#5233</t>
    </r>
  </si>
  <si>
    <r>
      <t xml:space="preserve">Jade Marmol  </t>
    </r>
    <r>
      <rPr>
        <sz val="8"/>
        <color rgb="FFFF0000"/>
        <rFont val="Arial"/>
        <family val="2"/>
      </rPr>
      <t>INV#5234</t>
    </r>
  </si>
  <si>
    <r>
      <t xml:space="preserve">Lobby Toor </t>
    </r>
    <r>
      <rPr>
        <sz val="8"/>
        <color rgb="FFFF0000"/>
        <rFont val="Arial"/>
        <family val="2"/>
      </rPr>
      <t>INV#5235</t>
    </r>
  </si>
  <si>
    <r>
      <t xml:space="preserve">Gupreet Sigh </t>
    </r>
    <r>
      <rPr>
        <sz val="9"/>
        <color rgb="FFFF0000"/>
        <rFont val="Arial"/>
        <family val="2"/>
      </rPr>
      <t>INV#5236</t>
    </r>
  </si>
  <si>
    <t>Brian Sesbreno</t>
  </si>
  <si>
    <t>Jul.31-Aug.30/26</t>
  </si>
  <si>
    <t>Jul 31/26</t>
  </si>
  <si>
    <t>AUGUST  2026"</t>
  </si>
  <si>
    <t>Aug.7-Sep.6/26</t>
  </si>
  <si>
    <t>Aug. 29-Sep.28/26</t>
  </si>
  <si>
    <t>Aug.26-Sep.25/26</t>
  </si>
  <si>
    <t>Aug.9-Sep.8/26</t>
  </si>
  <si>
    <t>Aug.15-Sep.14/26</t>
  </si>
  <si>
    <t>Aug.28-Sep.27/26</t>
  </si>
  <si>
    <t>Aug. 28-Sep.27/26</t>
  </si>
  <si>
    <t>Aug.1-31/26</t>
  </si>
  <si>
    <t>Aug.10-Sep.9/26</t>
  </si>
  <si>
    <t>Aug.30-Sep.29/26</t>
  </si>
  <si>
    <t>Aug.28-Sep.28/26</t>
  </si>
  <si>
    <t>Aug.4-Sep.3/26</t>
  </si>
  <si>
    <t>Aug.25-Sep.24/26</t>
  </si>
  <si>
    <t>Aug.21-Sep.20/26</t>
  </si>
  <si>
    <t>Aug.3-Sep.2/26</t>
  </si>
  <si>
    <t>Aug.12-Sep.11/26</t>
  </si>
  <si>
    <t>Aug.31-Sep.30/26</t>
  </si>
  <si>
    <t>Aug.13-Sep.12/26</t>
  </si>
  <si>
    <r>
      <t>Sandrine Jammeka Mariano</t>
    </r>
    <r>
      <rPr>
        <sz val="8"/>
        <color rgb="FFFF0000"/>
        <rFont val="Arial"/>
        <family val="2"/>
      </rPr>
      <t xml:space="preserve"> INV.#5237</t>
    </r>
  </si>
  <si>
    <r>
      <rPr>
        <sz val="9"/>
        <rFont val="Arial"/>
        <family val="2"/>
      </rPr>
      <t>Christine Golpeo</t>
    </r>
    <r>
      <rPr>
        <sz val="9"/>
        <color rgb="FFFF0000"/>
        <rFont val="Arial"/>
        <family val="2"/>
      </rPr>
      <t xml:space="preserve"> INV#5238</t>
    </r>
  </si>
  <si>
    <r>
      <t>Nikki Prollamante</t>
    </r>
    <r>
      <rPr>
        <sz val="8"/>
        <color rgb="FFFF0000"/>
        <rFont val="Arial"/>
        <family val="2"/>
      </rPr>
      <t>INV#5239</t>
    </r>
  </si>
  <si>
    <r>
      <t>Ann Kristine Diaz</t>
    </r>
    <r>
      <rPr>
        <sz val="8"/>
        <color rgb="FFFF0000"/>
        <rFont val="Arial"/>
        <family val="2"/>
      </rPr>
      <t xml:space="preserve"> INV#5240</t>
    </r>
  </si>
  <si>
    <t>29-Aug--26</t>
  </si>
  <si>
    <r>
      <t>Trisha Nicole Bellio</t>
    </r>
    <r>
      <rPr>
        <sz val="8"/>
        <color rgb="FFFF0000"/>
        <rFont val="Arial"/>
        <family val="2"/>
      </rPr>
      <t xml:space="preserve"> INV#5241</t>
    </r>
  </si>
  <si>
    <r>
      <t xml:space="preserve">Eunice Francisco </t>
    </r>
    <r>
      <rPr>
        <sz val="8"/>
        <color rgb="FFFF0000"/>
        <rFont val="Arial"/>
        <family val="2"/>
      </rPr>
      <t>INV.#5242</t>
    </r>
  </si>
  <si>
    <r>
      <t>Alexa Allaine delapaz</t>
    </r>
    <r>
      <rPr>
        <sz val="9"/>
        <color rgb="FFFF0000"/>
        <rFont val="Arial"/>
        <family val="2"/>
      </rPr>
      <t xml:space="preserve"> INV#52</t>
    </r>
  </si>
  <si>
    <r>
      <t xml:space="preserve">Joan Rejuso </t>
    </r>
    <r>
      <rPr>
        <sz val="9"/>
        <color rgb="FFFF0000"/>
        <rFont val="Arial"/>
        <family val="2"/>
      </rPr>
      <t>INV#52</t>
    </r>
  </si>
  <si>
    <r>
      <t xml:space="preserve">Gupreet Sigh </t>
    </r>
    <r>
      <rPr>
        <sz val="9"/>
        <color rgb="FFFF0000"/>
        <rFont val="Arial"/>
        <family val="2"/>
      </rPr>
      <t>INV#52</t>
    </r>
  </si>
  <si>
    <r>
      <t xml:space="preserve">Myra Cadag </t>
    </r>
    <r>
      <rPr>
        <sz val="8"/>
        <color rgb="FFFF0000"/>
        <rFont val="Arial"/>
        <family val="2"/>
      </rPr>
      <t>INV#52</t>
    </r>
  </si>
  <si>
    <r>
      <t>Bob Dumas</t>
    </r>
    <r>
      <rPr>
        <sz val="9"/>
        <color rgb="FFFF0000"/>
        <rFont val="Arial"/>
        <family val="2"/>
      </rPr>
      <t xml:space="preserve"> INV#52</t>
    </r>
  </si>
  <si>
    <r>
      <t>Mireel Fatima Parcarey</t>
    </r>
    <r>
      <rPr>
        <sz val="8"/>
        <color rgb="FFFF0000"/>
        <rFont val="Arial"/>
        <family val="2"/>
      </rPr>
      <t>INV.#52</t>
    </r>
  </si>
  <si>
    <r>
      <t>Ron Juliene Dominguino</t>
    </r>
    <r>
      <rPr>
        <sz val="8"/>
        <color rgb="FFFF0000"/>
        <rFont val="Arial"/>
        <family val="2"/>
      </rPr>
      <t>INV.#52</t>
    </r>
  </si>
  <si>
    <r>
      <t xml:space="preserve">Daryl Rivero </t>
    </r>
    <r>
      <rPr>
        <sz val="8"/>
        <color rgb="FFFF0000"/>
        <rFont val="Arial"/>
        <family val="2"/>
      </rPr>
      <t>INV#52</t>
    </r>
  </si>
  <si>
    <r>
      <t xml:space="preserve">Jade Marmol  </t>
    </r>
    <r>
      <rPr>
        <sz val="8"/>
        <color rgb="FFFF0000"/>
        <rFont val="Arial"/>
        <family val="2"/>
      </rPr>
      <t>INV#52</t>
    </r>
  </si>
  <si>
    <r>
      <t xml:space="preserve">Lobby Toor </t>
    </r>
    <r>
      <rPr>
        <sz val="8"/>
        <color rgb="FFFF0000"/>
        <rFont val="Arial"/>
        <family val="2"/>
      </rPr>
      <t>INV#52</t>
    </r>
  </si>
  <si>
    <t xml:space="preserve">         AUGUST</t>
  </si>
  <si>
    <t>Payroll (jul.27-aug.1) bh</t>
  </si>
  <si>
    <t>Maxifuel (vios)</t>
  </si>
  <si>
    <t>Viscara (coke,cigarette fe)</t>
  </si>
  <si>
    <t>Legazpi Water Distric (July 26)</t>
  </si>
  <si>
    <t>Electricbill (july 26)</t>
  </si>
  <si>
    <t>Wilcon depot (bh)</t>
  </si>
  <si>
    <t>Wilcon Depot (penthouse)</t>
  </si>
  <si>
    <t>Metro Gaizano (jug mh)</t>
  </si>
  <si>
    <t>Payroll (aug.3-8)penthouse</t>
  </si>
  <si>
    <t>808 Enterprises (gaz vios)</t>
  </si>
  <si>
    <t>Abuloy (Jun Toledo)</t>
  </si>
  <si>
    <t>Atty.Basaltan  (fe last will)</t>
  </si>
  <si>
    <t>Enternit</t>
  </si>
  <si>
    <t>Market (fe party)</t>
  </si>
  <si>
    <t>Payroll (aug.10-15)penthouse</t>
  </si>
  <si>
    <t>SSS (michelle) jul.26</t>
  </si>
  <si>
    <t>Payroll (Aug.17-22)back app.</t>
  </si>
  <si>
    <t>Aqulife Hobby Shop</t>
  </si>
  <si>
    <t>Money (bonus) Lydia Millete</t>
  </si>
  <si>
    <t>Money(bonus) Randy Millete</t>
  </si>
  <si>
    <t>Salaries (michelle)Aug.1-31,2026)</t>
  </si>
  <si>
    <t xml:space="preserve">              AUGUST</t>
  </si>
  <si>
    <t xml:space="preserve">                   TOTALS</t>
  </si>
  <si>
    <r>
      <t xml:space="preserve">Grace Trina metillo </t>
    </r>
    <r>
      <rPr>
        <sz val="8"/>
        <color rgb="FFFF0000"/>
        <rFont val="Arial"/>
        <family val="2"/>
      </rPr>
      <t>INV#5244</t>
    </r>
  </si>
  <si>
    <r>
      <t>Alejandro Delarosa</t>
    </r>
    <r>
      <rPr>
        <sz val="8"/>
        <color rgb="FFC00000"/>
        <rFont val="Arial"/>
        <family val="2"/>
      </rPr>
      <t xml:space="preserve"> INV#52</t>
    </r>
    <r>
      <rPr>
        <sz val="8"/>
        <color rgb="FFFF0000"/>
        <rFont val="Arial"/>
        <family val="2"/>
      </rPr>
      <t>45</t>
    </r>
  </si>
  <si>
    <r>
      <t xml:space="preserve">Sian Danver Morta </t>
    </r>
    <r>
      <rPr>
        <sz val="9"/>
        <color rgb="FFFF0000"/>
        <rFont val="Arial"/>
        <family val="2"/>
      </rPr>
      <t>INV#5246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</si>
</sst>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name val="Arial Narrow"/>
      <family val="2"/>
    </font>
    <font>
      <b/>
      <sz val="12"/>
      <color rgb="FFFF000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color indexed="30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b/>
      <sz val="8"/>
      <color rgb="FF0070C0"/>
      <name val="Arial"/>
      <family val="2"/>
    </font>
    <font>
      <sz val="8"/>
      <color rgb="FFC00000"/>
      <name val="Arial"/>
      <family val="2"/>
    </font>
    <font>
      <sz val="8"/>
      <color rgb="FFFF0000"/>
      <name val="Arial"/>
      <family val="2"/>
    </font>
    <font>
      <sz val="8"/>
      <color rgb="FF00B050"/>
      <name val="Arial"/>
      <family val="2"/>
    </font>
    <font>
      <sz val="8"/>
      <color rgb="FF0070C0"/>
      <name val="Arial"/>
      <family val="2"/>
    </font>
    <font>
      <sz val="8"/>
      <color theme="5" tint="-0.249977111117893"/>
      <name val="Arial"/>
      <family val="2"/>
    </font>
    <font>
      <sz val="8"/>
      <color theme="3" tint="-0.499984740745262"/>
      <name val="Arial"/>
      <family val="2"/>
    </font>
    <font>
      <sz val="8"/>
      <name val="Arial Narrow"/>
      <family val="2"/>
    </font>
    <font>
      <b/>
      <sz val="8"/>
      <color theme="3" tint="0.39994506668294322"/>
      <name val="Arial"/>
      <family val="2"/>
    </font>
    <font>
      <b/>
      <sz val="8"/>
      <color rgb="FFC00000"/>
      <name val="Arial"/>
      <family val="2"/>
    </font>
    <font>
      <b/>
      <sz val="9"/>
      <color theme="1"/>
      <name val="Calibri"/>
      <family val="2"/>
      <scheme val="minor"/>
    </font>
    <font>
      <sz val="9"/>
      <name val="Arial"/>
      <family val="2"/>
    </font>
    <font>
      <sz val="9"/>
      <color theme="2" tint="-0.89996032593768116"/>
      <name val="Arial"/>
      <family val="2"/>
    </font>
    <font>
      <b/>
      <sz val="9"/>
      <color theme="3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 Narrow"/>
      <family val="2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rgb="FFFF0000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9"/>
      <color rgb="FF00B0F0"/>
      <name val="Arial"/>
      <family val="2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sz val="9"/>
      <color indexed="8"/>
      <name val="Arial"/>
      <family val="2"/>
    </font>
    <font>
      <b/>
      <sz val="9"/>
      <color rgb="FFFF0000"/>
      <name val="Arial"/>
      <family val="2"/>
    </font>
    <font>
      <b/>
      <sz val="9"/>
      <color theme="9" tint="-0.24997711111789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C00000"/>
      <name val="Arial"/>
      <family val="2"/>
    </font>
    <font>
      <b/>
      <sz val="12"/>
      <color rgb="FF0070C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b/>
      <sz val="8"/>
      <color rgb="FFEE0000"/>
      <name val="Calibri"/>
      <family val="2"/>
      <scheme val="minor"/>
    </font>
    <font>
      <b/>
      <sz val="8"/>
      <color rgb="FFEE0000"/>
      <name val="Arial"/>
      <family val="2"/>
    </font>
    <font>
      <b/>
      <sz val="11"/>
      <color rgb="FFEE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85961485641044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54" fillId="0" borderId="0" applyFont="0" applyFill="0" applyBorder="0" applyAlignment="0" applyProtection="0"/>
  </cellStyleXfs>
  <cellXfs count="399">
    <xf numFmtId="0" fontId="0" fillId="0" borderId="0" xfId="0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65" fontId="9" fillId="0" borderId="3" xfId="1" applyNumberFormat="1" applyFont="1" applyBorder="1" applyAlignment="1">
      <alignment horizontal="center" wrapText="1"/>
    </xf>
    <xf numFmtId="165" fontId="9" fillId="0" borderId="2" xfId="1" applyNumberFormat="1" applyFont="1" applyBorder="1" applyAlignment="1">
      <alignment horizontal="center" wrapText="1"/>
    </xf>
    <xf numFmtId="164" fontId="9" fillId="0" borderId="3" xfId="1" applyFont="1" applyBorder="1" applyAlignment="1">
      <alignment horizontal="center" wrapText="1"/>
    </xf>
    <xf numFmtId="164" fontId="9" fillId="0" borderId="2" xfId="1" applyFont="1" applyBorder="1" applyAlignment="1">
      <alignment horizontal="center" wrapText="1"/>
    </xf>
    <xf numFmtId="0" fontId="11" fillId="0" borderId="5" xfId="0" applyFont="1" applyBorder="1"/>
    <xf numFmtId="0" fontId="12" fillId="0" borderId="6" xfId="0" applyFont="1" applyBorder="1"/>
    <xf numFmtId="0" fontId="12" fillId="0" borderId="5" xfId="0" applyFont="1" applyBorder="1"/>
    <xf numFmtId="164" fontId="12" fillId="0" borderId="6" xfId="1" applyFont="1" applyBorder="1"/>
    <xf numFmtId="164" fontId="11" fillId="0" borderId="5" xfId="1" applyFont="1" applyBorder="1"/>
    <xf numFmtId="165" fontId="11" fillId="0" borderId="5" xfId="1" applyNumberFormat="1" applyFont="1" applyBorder="1"/>
    <xf numFmtId="15" fontId="13" fillId="0" borderId="7" xfId="0" applyNumberFormat="1" applyFont="1" applyBorder="1"/>
    <xf numFmtId="0" fontId="11" fillId="0" borderId="8" xfId="0" applyFont="1" applyBorder="1"/>
    <xf numFmtId="165" fontId="11" fillId="0" borderId="0" xfId="1" applyNumberFormat="1" applyFont="1" applyBorder="1"/>
    <xf numFmtId="165" fontId="11" fillId="0" borderId="8" xfId="1" applyNumberFormat="1" applyFont="1" applyBorder="1"/>
    <xf numFmtId="164" fontId="11" fillId="0" borderId="0" xfId="1" applyFont="1" applyBorder="1"/>
    <xf numFmtId="164" fontId="11" fillId="0" borderId="8" xfId="1" applyFont="1" applyBorder="1"/>
    <xf numFmtId="15" fontId="11" fillId="0" borderId="7" xfId="0" applyNumberFormat="1" applyFont="1" applyBorder="1" applyAlignment="1">
      <alignment horizontal="center"/>
    </xf>
    <xf numFmtId="164" fontId="8" fillId="0" borderId="8" xfId="1" applyFont="1" applyBorder="1"/>
    <xf numFmtId="164" fontId="8" fillId="0" borderId="9" xfId="1" applyFont="1" applyBorder="1"/>
    <xf numFmtId="164" fontId="14" fillId="0" borderId="8" xfId="0" applyNumberFormat="1" applyFont="1" applyBorder="1"/>
    <xf numFmtId="164" fontId="15" fillId="0" borderId="8" xfId="1" applyFont="1" applyBorder="1"/>
    <xf numFmtId="165" fontId="15" fillId="0" borderId="8" xfId="1" applyNumberFormat="1" applyFont="1" applyBorder="1"/>
    <xf numFmtId="164" fontId="0" fillId="0" borderId="0" xfId="1" applyFont="1" applyBorder="1"/>
    <xf numFmtId="0" fontId="11" fillId="0" borderId="8" xfId="0" applyFont="1" applyBorder="1" applyAlignment="1">
      <alignment horizontal="left"/>
    </xf>
    <xf numFmtId="164" fontId="14" fillId="0" borderId="0" xfId="1" applyFont="1" applyBorder="1"/>
    <xf numFmtId="164" fontId="16" fillId="0" borderId="8" xfId="0" applyNumberFormat="1" applyFont="1" applyBorder="1"/>
    <xf numFmtId="164" fontId="11" fillId="0" borderId="9" xfId="1" applyFont="1" applyBorder="1"/>
    <xf numFmtId="164" fontId="11" fillId="0" borderId="10" xfId="1" applyFont="1" applyBorder="1"/>
    <xf numFmtId="165" fontId="11" fillId="0" borderId="10" xfId="1" applyNumberFormat="1" applyFont="1" applyBorder="1"/>
    <xf numFmtId="164" fontId="15" fillId="0" borderId="0" xfId="1" applyFont="1"/>
    <xf numFmtId="15" fontId="11" fillId="0" borderId="11" xfId="0" applyNumberFormat="1" applyFont="1" applyBorder="1" applyAlignment="1">
      <alignment horizontal="right"/>
    </xf>
    <xf numFmtId="0" fontId="11" fillId="0" borderId="12" xfId="0" applyFont="1" applyBorder="1"/>
    <xf numFmtId="164" fontId="11" fillId="0" borderId="12" xfId="1" applyFont="1" applyBorder="1"/>
    <xf numFmtId="165" fontId="11" fillId="0" borderId="12" xfId="1" applyNumberFormat="1" applyFont="1" applyBorder="1"/>
    <xf numFmtId="15" fontId="11" fillId="0" borderId="7" xfId="0" applyNumberFormat="1" applyFont="1" applyBorder="1"/>
    <xf numFmtId="164" fontId="15" fillId="0" borderId="10" xfId="1" applyFont="1" applyBorder="1"/>
    <xf numFmtId="164" fontId="15" fillId="0" borderId="0" xfId="1" applyFont="1" applyBorder="1"/>
    <xf numFmtId="15" fontId="11" fillId="0" borderId="11" xfId="0" applyNumberFormat="1" applyFont="1" applyBorder="1"/>
    <xf numFmtId="164" fontId="15" fillId="0" borderId="13" xfId="1" applyFont="1" applyBorder="1"/>
    <xf numFmtId="164" fontId="11" fillId="0" borderId="14" xfId="1" applyFont="1" applyBorder="1"/>
    <xf numFmtId="165" fontId="11" fillId="0" borderId="14" xfId="1" applyNumberFormat="1" applyFont="1" applyBorder="1"/>
    <xf numFmtId="15" fontId="17" fillId="0" borderId="7" xfId="0" applyNumberFormat="1" applyFont="1" applyBorder="1"/>
    <xf numFmtId="164" fontId="0" fillId="0" borderId="8" xfId="0" applyNumberFormat="1" applyBorder="1"/>
    <xf numFmtId="15" fontId="11" fillId="0" borderId="7" xfId="0" applyNumberFormat="1" applyFont="1" applyBorder="1" applyAlignment="1">
      <alignment horizontal="right"/>
    </xf>
    <xf numFmtId="164" fontId="9" fillId="0" borderId="15" xfId="1" applyFont="1" applyBorder="1" applyAlignment="1">
      <alignment horizontal="center" wrapText="1"/>
    </xf>
    <xf numFmtId="164" fontId="12" fillId="0" borderId="0" xfId="1" applyFont="1"/>
    <xf numFmtId="164" fontId="9" fillId="0" borderId="0" xfId="1" applyFont="1" applyAlignment="1">
      <alignment horizontal="center" wrapText="1"/>
    </xf>
    <xf numFmtId="164" fontId="11" fillId="0" borderId="16" xfId="1" applyFont="1" applyBorder="1"/>
    <xf numFmtId="164" fontId="11" fillId="0" borderId="17" xfId="1" applyFont="1" applyBorder="1"/>
    <xf numFmtId="164" fontId="12" fillId="0" borderId="0" xfId="1" applyFont="1" applyAlignment="1">
      <alignment horizontal="right"/>
    </xf>
    <xf numFmtId="164" fontId="18" fillId="0" borderId="0" xfId="1" applyFont="1"/>
    <xf numFmtId="164" fontId="11" fillId="0" borderId="0" xfId="1" applyFont="1"/>
    <xf numFmtId="164" fontId="19" fillId="0" borderId="0" xfId="1" applyFont="1"/>
    <xf numFmtId="164" fontId="20" fillId="0" borderId="0" xfId="1" applyFont="1"/>
    <xf numFmtId="164" fontId="21" fillId="0" borderId="0" xfId="1" applyFont="1"/>
    <xf numFmtId="164" fontId="22" fillId="0" borderId="0" xfId="1" applyFont="1"/>
    <xf numFmtId="164" fontId="15" fillId="0" borderId="17" xfId="1" applyFont="1" applyBorder="1"/>
    <xf numFmtId="164" fontId="23" fillId="0" borderId="0" xfId="1" applyFont="1"/>
    <xf numFmtId="164" fontId="24" fillId="0" borderId="18" xfId="1" applyFont="1" applyBorder="1"/>
    <xf numFmtId="164" fontId="11" fillId="0" borderId="0" xfId="1" applyFont="1" applyAlignment="1">
      <alignment horizontal="right"/>
    </xf>
    <xf numFmtId="164" fontId="24" fillId="0" borderId="0" xfId="1" applyFont="1"/>
    <xf numFmtId="164" fontId="11" fillId="0" borderId="18" xfId="1" applyFont="1" applyBorder="1"/>
    <xf numFmtId="164" fontId="11" fillId="0" borderId="19" xfId="1" applyFont="1" applyBorder="1"/>
    <xf numFmtId="164" fontId="15" fillId="0" borderId="20" xfId="1" applyFont="1" applyBorder="1"/>
    <xf numFmtId="164" fontId="15" fillId="0" borderId="12" xfId="1" applyFont="1" applyBorder="1"/>
    <xf numFmtId="15" fontId="25" fillId="0" borderId="7" xfId="0" applyNumberFormat="1" applyFont="1" applyBorder="1" applyAlignment="1">
      <alignment horizontal="right"/>
    </xf>
    <xf numFmtId="0" fontId="0" fillId="0" borderId="7" xfId="0" applyBorder="1"/>
    <xf numFmtId="164" fontId="16" fillId="0" borderId="0" xfId="0" applyNumberFormat="1" applyFont="1"/>
    <xf numFmtId="164" fontId="0" fillId="0" borderId="0" xfId="0" applyNumberFormat="1"/>
    <xf numFmtId="0" fontId="16" fillId="0" borderId="8" xfId="0" applyFont="1" applyBorder="1"/>
    <xf numFmtId="15" fontId="16" fillId="0" borderId="7" xfId="0" applyNumberFormat="1" applyFont="1" applyBorder="1"/>
    <xf numFmtId="0" fontId="14" fillId="0" borderId="8" xfId="0" applyFont="1" applyBorder="1"/>
    <xf numFmtId="0" fontId="16" fillId="0" borderId="7" xfId="0" applyFont="1" applyBorder="1"/>
    <xf numFmtId="164" fontId="8" fillId="0" borderId="0" xfId="1" applyFont="1"/>
    <xf numFmtId="164" fontId="26" fillId="0" borderId="0" xfId="1" applyFont="1"/>
    <xf numFmtId="0" fontId="0" fillId="0" borderId="21" xfId="0" applyBorder="1"/>
    <xf numFmtId="0" fontId="16" fillId="0" borderId="21" xfId="0" applyFont="1" applyBorder="1"/>
    <xf numFmtId="0" fontId="16" fillId="0" borderId="0" xfId="0" applyFont="1"/>
    <xf numFmtId="0" fontId="27" fillId="0" borderId="22" xfId="0" applyFont="1" applyBorder="1"/>
    <xf numFmtId="0" fontId="27" fillId="0" borderId="23" xfId="0" applyFont="1" applyBorder="1"/>
    <xf numFmtId="164" fontId="16" fillId="0" borderId="24" xfId="0" applyNumberFormat="1" applyFont="1" applyBorder="1"/>
    <xf numFmtId="164" fontId="16" fillId="0" borderId="23" xfId="0" applyNumberFormat="1" applyFont="1" applyBorder="1"/>
    <xf numFmtId="0" fontId="16" fillId="0" borderId="23" xfId="0" applyFont="1" applyBorder="1"/>
    <xf numFmtId="15" fontId="13" fillId="0" borderId="4" xfId="0" applyNumberFormat="1" applyFont="1" applyBorder="1"/>
    <xf numFmtId="15" fontId="28" fillId="0" borderId="7" xfId="0" applyNumberFormat="1" applyFont="1" applyBorder="1"/>
    <xf numFmtId="15" fontId="28" fillId="0" borderId="7" xfId="0" applyNumberFormat="1" applyFont="1" applyBorder="1" applyAlignment="1">
      <alignment horizontal="right"/>
    </xf>
    <xf numFmtId="164" fontId="11" fillId="0" borderId="13" xfId="1" applyFont="1" applyBorder="1"/>
    <xf numFmtId="15" fontId="29" fillId="0" borderId="4" xfId="0" applyNumberFormat="1" applyFont="1" applyBorder="1"/>
    <xf numFmtId="0" fontId="16" fillId="0" borderId="5" xfId="0" applyFont="1" applyBorder="1"/>
    <xf numFmtId="164" fontId="16" fillId="0" borderId="6" xfId="0" applyNumberFormat="1" applyFont="1" applyBorder="1"/>
    <xf numFmtId="164" fontId="16" fillId="0" borderId="5" xfId="0" applyNumberFormat="1" applyFont="1" applyBorder="1"/>
    <xf numFmtId="0" fontId="27" fillId="0" borderId="11" xfId="0" applyFont="1" applyBorder="1"/>
    <xf numFmtId="0" fontId="27" fillId="0" borderId="12" xfId="0" applyFont="1" applyBorder="1"/>
    <xf numFmtId="164" fontId="16" fillId="0" borderId="13" xfId="0" applyNumberFormat="1" applyFont="1" applyBorder="1"/>
    <xf numFmtId="164" fontId="16" fillId="0" borderId="12" xfId="0" applyNumberFormat="1" applyFont="1" applyBorder="1"/>
    <xf numFmtId="0" fontId="16" fillId="0" borderId="12" xfId="0" applyFont="1" applyBorder="1"/>
    <xf numFmtId="0" fontId="30" fillId="0" borderId="7" xfId="0" applyFont="1" applyBorder="1"/>
    <xf numFmtId="0" fontId="27" fillId="0" borderId="7" xfId="0" applyFont="1" applyBorder="1"/>
    <xf numFmtId="15" fontId="14" fillId="0" borderId="0" xfId="0" applyNumberFormat="1" applyFont="1"/>
    <xf numFmtId="0" fontId="14" fillId="0" borderId="5" xfId="0" applyFont="1" applyBorder="1"/>
    <xf numFmtId="164" fontId="14" fillId="0" borderId="6" xfId="0" applyNumberFormat="1" applyFont="1" applyBorder="1"/>
    <xf numFmtId="164" fontId="14" fillId="0" borderId="5" xfId="0" applyNumberFormat="1" applyFont="1" applyBorder="1"/>
    <xf numFmtId="164" fontId="14" fillId="0" borderId="0" xfId="0" applyNumberFormat="1" applyFont="1"/>
    <xf numFmtId="0" fontId="14" fillId="0" borderId="7" xfId="0" applyFont="1" applyBorder="1"/>
    <xf numFmtId="15" fontId="14" fillId="0" borderId="7" xfId="0" applyNumberFormat="1" applyFont="1" applyBorder="1"/>
    <xf numFmtId="0" fontId="31" fillId="0" borderId="22" xfId="0" applyFont="1" applyBorder="1"/>
    <xf numFmtId="0" fontId="31" fillId="0" borderId="23" xfId="0" applyFont="1" applyBorder="1"/>
    <xf numFmtId="164" fontId="31" fillId="0" borderId="24" xfId="0" applyNumberFormat="1" applyFont="1" applyBorder="1"/>
    <xf numFmtId="164" fontId="31" fillId="0" borderId="23" xfId="0" applyNumberFormat="1" applyFont="1" applyBorder="1"/>
    <xf numFmtId="164" fontId="31" fillId="0" borderId="25" xfId="0" applyNumberFormat="1" applyFont="1" applyBorder="1"/>
    <xf numFmtId="0" fontId="31" fillId="0" borderId="7" xfId="0" applyFont="1" applyBorder="1"/>
    <xf numFmtId="15" fontId="11" fillId="0" borderId="4" xfId="0" applyNumberFormat="1" applyFont="1" applyBorder="1"/>
    <xf numFmtId="164" fontId="28" fillId="0" borderId="0" xfId="1" applyFont="1"/>
    <xf numFmtId="164" fontId="16" fillId="0" borderId="26" xfId="0" applyNumberFormat="1" applyFont="1" applyBorder="1"/>
    <xf numFmtId="0" fontId="0" fillId="0" borderId="27" xfId="0" applyBorder="1"/>
    <xf numFmtId="164" fontId="14" fillId="0" borderId="28" xfId="0" applyNumberFormat="1" applyFont="1" applyBorder="1"/>
    <xf numFmtId="0" fontId="14" fillId="0" borderId="27" xfId="0" applyFont="1" applyBorder="1"/>
    <xf numFmtId="0" fontId="14" fillId="0" borderId="21" xfId="0" applyFont="1" applyBorder="1"/>
    <xf numFmtId="164" fontId="31" fillId="0" borderId="26" xfId="0" applyNumberFormat="1" applyFont="1" applyBorder="1"/>
    <xf numFmtId="0" fontId="14" fillId="0" borderId="12" xfId="0" applyFont="1" applyBorder="1"/>
    <xf numFmtId="164" fontId="14" fillId="0" borderId="13" xfId="0" applyNumberFormat="1" applyFont="1" applyBorder="1"/>
    <xf numFmtId="164" fontId="14" fillId="0" borderId="12" xfId="0" applyNumberFormat="1" applyFont="1" applyBorder="1"/>
    <xf numFmtId="164" fontId="14" fillId="0" borderId="8" xfId="1" applyFont="1" applyBorder="1"/>
    <xf numFmtId="164" fontId="14" fillId="0" borderId="0" xfId="1" applyFont="1"/>
    <xf numFmtId="165" fontId="14" fillId="0" borderId="8" xfId="1" applyNumberFormat="1" applyFont="1" applyBorder="1"/>
    <xf numFmtId="164" fontId="14" fillId="0" borderId="7" xfId="1" applyFont="1" applyBorder="1"/>
    <xf numFmtId="164" fontId="8" fillId="0" borderId="22" xfId="1" applyFont="1" applyBorder="1"/>
    <xf numFmtId="164" fontId="31" fillId="0" borderId="23" xfId="1" applyFont="1" applyBorder="1"/>
    <xf numFmtId="164" fontId="31" fillId="0" borderId="24" xfId="1" applyFont="1" applyBorder="1"/>
    <xf numFmtId="164" fontId="8" fillId="0" borderId="7" xfId="1" applyFont="1" applyBorder="1" applyAlignment="1">
      <alignment horizontal="left"/>
    </xf>
    <xf numFmtId="165" fontId="16" fillId="0" borderId="8" xfId="0" applyNumberFormat="1" applyFont="1" applyBorder="1"/>
    <xf numFmtId="164" fontId="28" fillId="0" borderId="10" xfId="1" applyFont="1" applyBorder="1"/>
    <xf numFmtId="164" fontId="28" fillId="0" borderId="8" xfId="1" applyFont="1" applyBorder="1"/>
    <xf numFmtId="165" fontId="28" fillId="0" borderId="17" xfId="1" applyNumberFormat="1" applyFont="1" applyBorder="1"/>
    <xf numFmtId="164" fontId="32" fillId="0" borderId="0" xfId="1" applyFont="1"/>
    <xf numFmtId="164" fontId="32" fillId="0" borderId="20" xfId="1" applyFont="1" applyBorder="1"/>
    <xf numFmtId="165" fontId="33" fillId="0" borderId="18" xfId="1" applyNumberFormat="1" applyFont="1" applyBorder="1"/>
    <xf numFmtId="0" fontId="28" fillId="0" borderId="12" xfId="0" applyFont="1" applyBorder="1"/>
    <xf numFmtId="164" fontId="28" fillId="0" borderId="13" xfId="1" applyFont="1" applyBorder="1"/>
    <xf numFmtId="165" fontId="28" fillId="0" borderId="14" xfId="1" applyNumberFormat="1" applyFont="1" applyBorder="1"/>
    <xf numFmtId="164" fontId="16" fillId="0" borderId="6" xfId="1" applyFont="1" applyBorder="1"/>
    <xf numFmtId="165" fontId="16" fillId="0" borderId="5" xfId="0" applyNumberFormat="1" applyFont="1" applyBorder="1"/>
    <xf numFmtId="164" fontId="16" fillId="0" borderId="0" xfId="1" applyFont="1"/>
    <xf numFmtId="164" fontId="14" fillId="0" borderId="21" xfId="1" applyFont="1" applyBorder="1"/>
    <xf numFmtId="164" fontId="8" fillId="0" borderId="29" xfId="1" applyFont="1" applyBorder="1"/>
    <xf numFmtId="164" fontId="28" fillId="0" borderId="17" xfId="1" applyFont="1" applyBorder="1"/>
    <xf numFmtId="0" fontId="16" fillId="0" borderId="27" xfId="0" applyFont="1" applyBorder="1"/>
    <xf numFmtId="164" fontId="11" fillId="0" borderId="7" xfId="1" applyFont="1" applyBorder="1" applyAlignment="1">
      <alignment horizontal="right"/>
    </xf>
    <xf numFmtId="164" fontId="11" fillId="0" borderId="11" xfId="1" applyFont="1" applyBorder="1" applyAlignment="1">
      <alignment horizontal="right"/>
    </xf>
    <xf numFmtId="164" fontId="11" fillId="0" borderId="7" xfId="1" applyFont="1" applyBorder="1"/>
    <xf numFmtId="164" fontId="14" fillId="0" borderId="5" xfId="1" applyFont="1" applyBorder="1"/>
    <xf numFmtId="164" fontId="14" fillId="0" borderId="6" xfId="1" applyFont="1" applyBorder="1"/>
    <xf numFmtId="165" fontId="14" fillId="0" borderId="5" xfId="1" applyNumberFormat="1" applyFont="1" applyBorder="1"/>
    <xf numFmtId="164" fontId="34" fillId="0" borderId="22" xfId="1" applyFont="1" applyBorder="1"/>
    <xf numFmtId="164" fontId="34" fillId="0" borderId="23" xfId="1" applyFont="1" applyBorder="1"/>
    <xf numFmtId="164" fontId="34" fillId="0" borderId="24" xfId="1" applyFont="1" applyBorder="1"/>
    <xf numFmtId="164" fontId="34" fillId="0" borderId="7" xfId="1" applyFont="1" applyBorder="1"/>
    <xf numFmtId="0" fontId="34" fillId="0" borderId="23" xfId="0" applyFont="1" applyBorder="1"/>
    <xf numFmtId="164" fontId="34" fillId="0" borderId="24" xfId="0" applyNumberFormat="1" applyFont="1" applyBorder="1"/>
    <xf numFmtId="164" fontId="34" fillId="0" borderId="23" xfId="0" applyNumberFormat="1" applyFont="1" applyBorder="1"/>
    <xf numFmtId="0" fontId="34" fillId="0" borderId="7" xfId="0" applyFont="1" applyBorder="1"/>
    <xf numFmtId="0" fontId="34" fillId="0" borderId="8" xfId="0" applyFont="1" applyBorder="1"/>
    <xf numFmtId="164" fontId="34" fillId="0" borderId="0" xfId="0" applyNumberFormat="1" applyFont="1"/>
    <xf numFmtId="164" fontId="34" fillId="0" borderId="8" xfId="0" applyNumberFormat="1" applyFont="1" applyBorder="1"/>
    <xf numFmtId="0" fontId="0" fillId="0" borderId="8" xfId="0" applyBorder="1"/>
    <xf numFmtId="15" fontId="35" fillId="0" borderId="7" xfId="0" applyNumberFormat="1" applyFont="1" applyBorder="1"/>
    <xf numFmtId="0" fontId="35" fillId="0" borderId="8" xfId="0" applyFont="1" applyBorder="1"/>
    <xf numFmtId="164" fontId="14" fillId="0" borderId="27" xfId="1" applyFont="1" applyBorder="1"/>
    <xf numFmtId="164" fontId="34" fillId="0" borderId="26" xfId="1" applyFont="1" applyBorder="1"/>
    <xf numFmtId="164" fontId="36" fillId="0" borderId="0" xfId="1" applyFont="1" applyAlignment="1">
      <alignment horizontal="right"/>
    </xf>
    <xf numFmtId="164" fontId="36" fillId="0" borderId="19" xfId="1" applyFont="1" applyBorder="1"/>
    <xf numFmtId="164" fontId="36" fillId="0" borderId="0" xfId="1" applyFont="1"/>
    <xf numFmtId="164" fontId="34" fillId="0" borderId="25" xfId="0" applyNumberFormat="1" applyFont="1" applyBorder="1"/>
    <xf numFmtId="0" fontId="0" fillId="0" borderId="0" xfId="0" applyAlignment="1">
      <alignment horizontal="center"/>
    </xf>
    <xf numFmtId="0" fontId="15" fillId="0" borderId="0" xfId="0" applyFont="1"/>
    <xf numFmtId="165" fontId="15" fillId="0" borderId="0" xfId="1" applyNumberFormat="1" applyFont="1"/>
    <xf numFmtId="0" fontId="37" fillId="0" borderId="1" xfId="0" applyFont="1" applyBorder="1" applyAlignment="1">
      <alignment vertical="center"/>
    </xf>
    <xf numFmtId="0" fontId="38" fillId="0" borderId="3" xfId="0" applyFont="1" applyBorder="1" applyAlignment="1">
      <alignment horizontal="center" wrapText="1"/>
    </xf>
    <xf numFmtId="0" fontId="39" fillId="0" borderId="3" xfId="0" applyFont="1" applyBorder="1" applyAlignment="1">
      <alignment vertical="center"/>
    </xf>
    <xf numFmtId="0" fontId="39" fillId="0" borderId="3" xfId="0" applyFont="1" applyBorder="1" applyAlignment="1">
      <alignment horizontal="center" vertical="center"/>
    </xf>
    <xf numFmtId="9" fontId="39" fillId="0" borderId="3" xfId="0" applyNumberFormat="1" applyFont="1" applyBorder="1" applyAlignment="1">
      <alignment horizontal="center" vertical="center"/>
    </xf>
    <xf numFmtId="0" fontId="38" fillId="0" borderId="3" xfId="0" applyFont="1" applyBorder="1" applyAlignment="1">
      <alignment vertical="center"/>
    </xf>
    <xf numFmtId="17" fontId="40" fillId="0" borderId="0" xfId="0" applyNumberFormat="1" applyFont="1"/>
    <xf numFmtId="17" fontId="41" fillId="0" borderId="0" xfId="0" applyNumberFormat="1" applyFont="1" applyAlignment="1">
      <alignment horizontal="left"/>
    </xf>
    <xf numFmtId="0" fontId="42" fillId="0" borderId="0" xfId="0" applyFont="1"/>
    <xf numFmtId="0" fontId="42" fillId="0" borderId="3" xfId="0" applyFont="1" applyBorder="1"/>
    <xf numFmtId="0" fontId="42" fillId="0" borderId="0" xfId="0" applyFont="1" applyAlignment="1">
      <alignment horizontal="center"/>
    </xf>
    <xf numFmtId="164" fontId="43" fillId="2" borderId="0" xfId="0" applyNumberFormat="1" applyFont="1" applyFill="1" applyAlignment="1">
      <alignment horizontal="center"/>
    </xf>
    <xf numFmtId="15" fontId="15" fillId="0" borderId="4" xfId="0" applyNumberFormat="1" applyFont="1" applyBorder="1"/>
    <xf numFmtId="0" fontId="28" fillId="0" borderId="5" xfId="0" applyFont="1" applyBorder="1"/>
    <xf numFmtId="0" fontId="11" fillId="0" borderId="6" xfId="0" applyFont="1" applyBorder="1"/>
    <xf numFmtId="165" fontId="28" fillId="0" borderId="5" xfId="1" applyNumberFormat="1" applyFont="1" applyFill="1" applyBorder="1"/>
    <xf numFmtId="165" fontId="28" fillId="0" borderId="0" xfId="1" applyNumberFormat="1" applyFont="1" applyBorder="1"/>
    <xf numFmtId="0" fontId="28" fillId="0" borderId="5" xfId="0" applyFont="1" applyBorder="1" applyAlignment="1">
      <alignment horizontal="center"/>
    </xf>
    <xf numFmtId="165" fontId="28" fillId="0" borderId="0" xfId="1" applyNumberFormat="1" applyFont="1" applyFill="1" applyBorder="1"/>
    <xf numFmtId="164" fontId="43" fillId="3" borderId="0" xfId="0" applyNumberFormat="1" applyFont="1" applyFill="1" applyAlignment="1">
      <alignment horizontal="center"/>
    </xf>
    <xf numFmtId="15" fontId="15" fillId="0" borderId="7" xfId="0" applyNumberFormat="1" applyFont="1" applyBorder="1"/>
    <xf numFmtId="0" fontId="28" fillId="0" borderId="10" xfId="0" applyFont="1" applyBorder="1"/>
    <xf numFmtId="0" fontId="11" fillId="0" borderId="10" xfId="0" applyFont="1" applyBorder="1"/>
    <xf numFmtId="165" fontId="28" fillId="0" borderId="8" xfId="1" applyNumberFormat="1" applyFont="1" applyFill="1" applyBorder="1"/>
    <xf numFmtId="0" fontId="28" fillId="0" borderId="8" xfId="0" applyFont="1" applyBorder="1" applyAlignment="1">
      <alignment horizontal="center"/>
    </xf>
    <xf numFmtId="0" fontId="28" fillId="0" borderId="8" xfId="0" applyFont="1" applyBorder="1"/>
    <xf numFmtId="0" fontId="11" fillId="0" borderId="0" xfId="0" applyFont="1"/>
    <xf numFmtId="165" fontId="28" fillId="0" borderId="8" xfId="1" applyNumberFormat="1" applyFont="1" applyBorder="1"/>
    <xf numFmtId="0" fontId="32" fillId="0" borderId="8" xfId="0" applyFont="1" applyBorder="1"/>
    <xf numFmtId="0" fontId="15" fillId="0" borderId="8" xfId="0" applyFont="1" applyBorder="1"/>
    <xf numFmtId="165" fontId="32" fillId="0" borderId="8" xfId="1" applyNumberFormat="1" applyFont="1" applyBorder="1"/>
    <xf numFmtId="0" fontId="32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165" fontId="32" fillId="0" borderId="8" xfId="1" applyNumberFormat="1" applyFont="1" applyFill="1" applyBorder="1"/>
    <xf numFmtId="164" fontId="43" fillId="4" borderId="0" xfId="0" applyNumberFormat="1" applyFont="1" applyFill="1" applyAlignment="1">
      <alignment horizontal="center"/>
    </xf>
    <xf numFmtId="164" fontId="43" fillId="5" borderId="0" xfId="0" applyNumberFormat="1" applyFont="1" applyFill="1" applyAlignment="1">
      <alignment horizontal="center"/>
    </xf>
    <xf numFmtId="164" fontId="43" fillId="5" borderId="30" xfId="0" applyNumberFormat="1" applyFont="1" applyFill="1" applyBorder="1" applyAlignment="1">
      <alignment horizontal="center"/>
    </xf>
    <xf numFmtId="15" fontId="15" fillId="0" borderId="31" xfId="0" applyNumberFormat="1" applyFont="1" applyBorder="1"/>
    <xf numFmtId="0" fontId="28" fillId="0" borderId="20" xfId="0" applyFont="1" applyBorder="1"/>
    <xf numFmtId="0" fontId="11" fillId="0" borderId="30" xfId="0" applyFont="1" applyBorder="1"/>
    <xf numFmtId="165" fontId="28" fillId="0" borderId="20" xfId="1" applyNumberFormat="1" applyFont="1" applyBorder="1"/>
    <xf numFmtId="0" fontId="28" fillId="0" borderId="20" xfId="0" applyFont="1" applyBorder="1" applyAlignment="1">
      <alignment horizontal="center"/>
    </xf>
    <xf numFmtId="0" fontId="44" fillId="0" borderId="13" xfId="0" applyFont="1" applyBorder="1" applyAlignment="1">
      <alignment horizontal="left"/>
    </xf>
    <xf numFmtId="0" fontId="45" fillId="0" borderId="11" xfId="0" applyFont="1" applyBorder="1" applyAlignment="1">
      <alignment horizontal="center"/>
    </xf>
    <xf numFmtId="0" fontId="45" fillId="0" borderId="13" xfId="0" applyFont="1" applyBorder="1" applyAlignment="1">
      <alignment horizontal="left"/>
    </xf>
    <xf numFmtId="0" fontId="15" fillId="0" borderId="13" xfId="0" applyFont="1" applyBorder="1"/>
    <xf numFmtId="165" fontId="11" fillId="6" borderId="12" xfId="1" applyNumberFormat="1" applyFont="1" applyFill="1" applyBorder="1"/>
    <xf numFmtId="165" fontId="28" fillId="6" borderId="13" xfId="1" applyNumberFormat="1" applyFont="1" applyFill="1" applyBorder="1"/>
    <xf numFmtId="165" fontId="11" fillId="6" borderId="13" xfId="1" applyNumberFormat="1" applyFont="1" applyFill="1" applyBorder="1"/>
    <xf numFmtId="0" fontId="46" fillId="0" borderId="0" xfId="0" applyFont="1" applyAlignment="1">
      <alignment horizontal="left"/>
    </xf>
    <xf numFmtId="0" fontId="36" fillId="0" borderId="7" xfId="0" applyFont="1" applyBorder="1" applyAlignment="1">
      <alignment horizontal="center"/>
    </xf>
    <xf numFmtId="0" fontId="32" fillId="0" borderId="0" xfId="0" applyFont="1"/>
    <xf numFmtId="0" fontId="47" fillId="0" borderId="0" xfId="0" applyFont="1" applyAlignment="1">
      <alignment horizontal="center"/>
    </xf>
    <xf numFmtId="0" fontId="47" fillId="0" borderId="8" xfId="0" applyFont="1" applyBorder="1" applyAlignment="1">
      <alignment horizontal="center"/>
    </xf>
    <xf numFmtId="165" fontId="32" fillId="0" borderId="0" xfId="1" applyNumberFormat="1" applyFont="1" applyFill="1" applyBorder="1"/>
    <xf numFmtId="165" fontId="28" fillId="0" borderId="8" xfId="1" applyNumberFormat="1" applyFont="1" applyBorder="1" applyAlignment="1">
      <alignment horizontal="right"/>
    </xf>
    <xf numFmtId="165" fontId="28" fillId="0" borderId="0" xfId="1" applyNumberFormat="1" applyFont="1" applyBorder="1" applyAlignment="1">
      <alignment horizontal="right"/>
    </xf>
    <xf numFmtId="0" fontId="47" fillId="0" borderId="8" xfId="0" applyFont="1" applyBorder="1" applyAlignment="1">
      <alignment horizontal="left"/>
    </xf>
    <xf numFmtId="0" fontId="47" fillId="0" borderId="20" xfId="0" applyFont="1" applyBorder="1" applyAlignment="1">
      <alignment horizontal="left"/>
    </xf>
    <xf numFmtId="0" fontId="47" fillId="0" borderId="20" xfId="0" applyFont="1" applyBorder="1" applyAlignment="1">
      <alignment horizontal="center"/>
    </xf>
    <xf numFmtId="0" fontId="42" fillId="0" borderId="13" xfId="0" applyFont="1" applyBorder="1"/>
    <xf numFmtId="0" fontId="42" fillId="0" borderId="11" xfId="0" applyFont="1" applyBorder="1" applyAlignment="1">
      <alignment horizontal="center"/>
    </xf>
    <xf numFmtId="0" fontId="47" fillId="0" borderId="13" xfId="0" applyFont="1" applyBorder="1" applyAlignment="1">
      <alignment horizontal="left"/>
    </xf>
    <xf numFmtId="0" fontId="11" fillId="0" borderId="13" xfId="0" applyFont="1" applyBorder="1"/>
    <xf numFmtId="165" fontId="28" fillId="6" borderId="12" xfId="1" applyNumberFormat="1" applyFont="1" applyFill="1" applyBorder="1"/>
    <xf numFmtId="0" fontId="0" fillId="0" borderId="7" xfId="0" applyBorder="1" applyAlignment="1">
      <alignment horizontal="center"/>
    </xf>
    <xf numFmtId="0" fontId="47" fillId="0" borderId="0" xfId="0" applyFont="1" applyAlignment="1">
      <alignment horizontal="left"/>
    </xf>
    <xf numFmtId="0" fontId="0" fillId="0" borderId="13" xfId="0" applyBorder="1"/>
    <xf numFmtId="0" fontId="0" fillId="0" borderId="11" xfId="0" applyBorder="1" applyAlignment="1">
      <alignment horizontal="center"/>
    </xf>
    <xf numFmtId="0" fontId="47" fillId="0" borderId="12" xfId="0" applyFont="1" applyBorder="1" applyAlignment="1">
      <alignment horizontal="left"/>
    </xf>
    <xf numFmtId="0" fontId="47" fillId="6" borderId="12" xfId="0" applyFont="1" applyFill="1" applyBorder="1" applyAlignment="1">
      <alignment horizontal="center"/>
    </xf>
    <xf numFmtId="0" fontId="42" fillId="0" borderId="7" xfId="0" applyFont="1" applyBorder="1" applyAlignment="1">
      <alignment horizontal="center"/>
    </xf>
    <xf numFmtId="165" fontId="32" fillId="0" borderId="8" xfId="1" applyNumberFormat="1" applyFont="1" applyBorder="1" applyAlignment="1"/>
    <xf numFmtId="0" fontId="47" fillId="0" borderId="8" xfId="0" applyFont="1" applyBorder="1"/>
    <xf numFmtId="0" fontId="32" fillId="0" borderId="20" xfId="0" applyFont="1" applyBorder="1"/>
    <xf numFmtId="165" fontId="32" fillId="0" borderId="0" xfId="1" applyNumberFormat="1" applyFont="1" applyBorder="1"/>
    <xf numFmtId="0" fontId="47" fillId="0" borderId="13" xfId="0" applyFont="1" applyBorder="1"/>
    <xf numFmtId="165" fontId="28" fillId="0" borderId="12" xfId="1" applyNumberFormat="1" applyFont="1" applyBorder="1"/>
    <xf numFmtId="165" fontId="28" fillId="0" borderId="13" xfId="1" applyNumberFormat="1" applyFont="1" applyBorder="1"/>
    <xf numFmtId="164" fontId="15" fillId="0" borderId="0" xfId="0" applyNumberFormat="1" applyFont="1"/>
    <xf numFmtId="165" fontId="11" fillId="6" borderId="0" xfId="1" applyNumberFormat="1" applyFont="1" applyFill="1" applyBorder="1"/>
    <xf numFmtId="165" fontId="28" fillId="6" borderId="0" xfId="1" applyNumberFormat="1" applyFont="1" applyFill="1" applyBorder="1"/>
    <xf numFmtId="0" fontId="45" fillId="0" borderId="7" xfId="0" applyFont="1" applyBorder="1" applyAlignment="1">
      <alignment horizontal="center"/>
    </xf>
    <xf numFmtId="0" fontId="45" fillId="0" borderId="0" xfId="0" applyFont="1" applyAlignment="1">
      <alignment horizontal="left"/>
    </xf>
    <xf numFmtId="165" fontId="45" fillId="0" borderId="0" xfId="1" applyNumberFormat="1" applyFont="1" applyBorder="1"/>
    <xf numFmtId="0" fontId="45" fillId="0" borderId="0" xfId="0" applyFont="1" applyAlignment="1">
      <alignment horizontal="center"/>
    </xf>
    <xf numFmtId="0" fontId="28" fillId="0" borderId="8" xfId="0" applyFont="1" applyBorder="1" applyAlignment="1">
      <alignment horizontal="left"/>
    </xf>
    <xf numFmtId="165" fontId="48" fillId="0" borderId="0" xfId="1" applyNumberFormat="1" applyFont="1" applyFill="1" applyBorder="1"/>
    <xf numFmtId="0" fontId="36" fillId="0" borderId="13" xfId="0" applyFont="1" applyBorder="1" applyAlignment="1">
      <alignment horizontal="left"/>
    </xf>
    <xf numFmtId="0" fontId="36" fillId="0" borderId="11" xfId="0" applyFont="1" applyBorder="1" applyAlignment="1">
      <alignment horizontal="center"/>
    </xf>
    <xf numFmtId="0" fontId="32" fillId="0" borderId="13" xfId="0" applyFont="1" applyBorder="1"/>
    <xf numFmtId="165" fontId="28" fillId="7" borderId="12" xfId="1" applyNumberFormat="1" applyFont="1" applyFill="1" applyBorder="1"/>
    <xf numFmtId="165" fontId="49" fillId="0" borderId="0" xfId="1" applyNumberFormat="1" applyFont="1" applyBorder="1" applyAlignment="1">
      <alignment horizontal="right" vertical="center"/>
    </xf>
    <xf numFmtId="165" fontId="50" fillId="8" borderId="0" xfId="0" applyNumberFormat="1" applyFont="1" applyFill="1"/>
    <xf numFmtId="0" fontId="42" fillId="0" borderId="32" xfId="0" applyFont="1" applyBorder="1"/>
    <xf numFmtId="0" fontId="27" fillId="0" borderId="3" xfId="0" applyFont="1" applyBorder="1" applyAlignment="1">
      <alignment vertical="center"/>
    </xf>
    <xf numFmtId="0" fontId="51" fillId="0" borderId="3" xfId="0" applyFont="1" applyBorder="1" applyAlignment="1">
      <alignment vertical="center" wrapText="1"/>
    </xf>
    <xf numFmtId="0" fontId="38" fillId="0" borderId="3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165" fontId="32" fillId="0" borderId="6" xfId="0" applyNumberFormat="1" applyFont="1" applyBorder="1"/>
    <xf numFmtId="16" fontId="11" fillId="0" borderId="5" xfId="0" applyNumberFormat="1" applyFont="1" applyBorder="1" applyAlignment="1">
      <alignment horizontal="right"/>
    </xf>
    <xf numFmtId="165" fontId="15" fillId="0" borderId="27" xfId="1" applyNumberFormat="1" applyFont="1" applyFill="1" applyBorder="1"/>
    <xf numFmtId="165" fontId="32" fillId="0" borderId="0" xfId="0" applyNumberFormat="1" applyFont="1"/>
    <xf numFmtId="17" fontId="11" fillId="0" borderId="8" xfId="0" applyNumberFormat="1" applyFont="1" applyBorder="1" applyAlignment="1">
      <alignment horizontal="right"/>
    </xf>
    <xf numFmtId="165" fontId="15" fillId="0" borderId="21" xfId="1" applyNumberFormat="1" applyFont="1" applyFill="1" applyBorder="1"/>
    <xf numFmtId="164" fontId="43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165" fontId="15" fillId="0" borderId="0" xfId="1" applyNumberFormat="1" applyFont="1" applyFill="1" applyBorder="1"/>
    <xf numFmtId="0" fontId="11" fillId="0" borderId="8" xfId="0" applyFont="1" applyBorder="1" applyAlignment="1">
      <alignment horizontal="right"/>
    </xf>
    <xf numFmtId="0" fontId="28" fillId="0" borderId="0" xfId="0" applyFont="1" applyAlignment="1">
      <alignment horizontal="left"/>
    </xf>
    <xf numFmtId="0" fontId="24" fillId="0" borderId="8" xfId="0" applyFont="1" applyBorder="1" applyAlignment="1">
      <alignment horizontal="right" wrapText="1"/>
    </xf>
    <xf numFmtId="165" fontId="15" fillId="0" borderId="21" xfId="1" applyNumberFormat="1" applyFont="1" applyBorder="1"/>
    <xf numFmtId="0" fontId="16" fillId="0" borderId="0" xfId="0" applyFont="1" applyAlignment="1">
      <alignment horizontal="left"/>
    </xf>
    <xf numFmtId="165" fontId="16" fillId="0" borderId="0" xfId="1" applyNumberFormat="1" applyFont="1" applyBorder="1"/>
    <xf numFmtId="165" fontId="15" fillId="0" borderId="8" xfId="1" applyNumberFormat="1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164" fontId="11" fillId="0" borderId="8" xfId="1" applyFont="1" applyBorder="1" applyAlignment="1">
      <alignment horizontal="right"/>
    </xf>
    <xf numFmtId="165" fontId="11" fillId="0" borderId="0" xfId="1" applyNumberFormat="1" applyFont="1" applyFill="1" applyBorder="1"/>
    <xf numFmtId="0" fontId="32" fillId="0" borderId="0" xfId="0" applyFont="1" applyAlignment="1">
      <alignment horizontal="left"/>
    </xf>
    <xf numFmtId="165" fontId="15" fillId="0" borderId="0" xfId="1" applyNumberFormat="1" applyFont="1" applyBorder="1"/>
    <xf numFmtId="0" fontId="11" fillId="0" borderId="0" xfId="0" applyFont="1" applyAlignment="1">
      <alignment horizontal="left"/>
    </xf>
    <xf numFmtId="165" fontId="32" fillId="0" borderId="0" xfId="1" applyNumberFormat="1" applyFont="1"/>
    <xf numFmtId="0" fontId="15" fillId="0" borderId="21" xfId="0" applyFont="1" applyBorder="1"/>
    <xf numFmtId="165" fontId="32" fillId="0" borderId="30" xfId="0" applyNumberFormat="1" applyFont="1" applyBorder="1"/>
    <xf numFmtId="0" fontId="11" fillId="0" borderId="20" xfId="0" applyFont="1" applyBorder="1" applyAlignment="1">
      <alignment horizontal="right"/>
    </xf>
    <xf numFmtId="165" fontId="15" fillId="0" borderId="33" xfId="1" applyNumberFormat="1" applyFont="1" applyBorder="1"/>
    <xf numFmtId="0" fontId="15" fillId="0" borderId="12" xfId="0" applyFont="1" applyBorder="1" applyAlignment="1">
      <alignment horizontal="right"/>
    </xf>
    <xf numFmtId="165" fontId="11" fillId="0" borderId="13" xfId="1" applyNumberFormat="1" applyFont="1" applyBorder="1"/>
    <xf numFmtId="15" fontId="15" fillId="0" borderId="0" xfId="0" applyNumberFormat="1" applyFont="1"/>
    <xf numFmtId="0" fontId="15" fillId="0" borderId="0" xfId="0" applyFont="1" applyAlignment="1">
      <alignment horizontal="right"/>
    </xf>
    <xf numFmtId="16" fontId="15" fillId="0" borderId="8" xfId="0" applyNumberFormat="1" applyFont="1" applyBorder="1" applyAlignment="1">
      <alignment horizontal="right"/>
    </xf>
    <xf numFmtId="165" fontId="15" fillId="0" borderId="8" xfId="0" applyNumberFormat="1" applyFont="1" applyBorder="1" applyAlignment="1">
      <alignment horizontal="right"/>
    </xf>
    <xf numFmtId="165" fontId="11" fillId="0" borderId="28" xfId="1" applyNumberFormat="1" applyFont="1" applyBorder="1"/>
    <xf numFmtId="165" fontId="11" fillId="0" borderId="21" xfId="1" applyNumberFormat="1" applyFont="1" applyBorder="1"/>
    <xf numFmtId="0" fontId="32" fillId="0" borderId="8" xfId="0" applyFont="1" applyBorder="1" applyAlignment="1">
      <alignment horizontal="right"/>
    </xf>
    <xf numFmtId="0" fontId="32" fillId="0" borderId="20" xfId="0" applyFont="1" applyBorder="1" applyAlignment="1">
      <alignment horizontal="right"/>
    </xf>
    <xf numFmtId="0" fontId="15" fillId="0" borderId="20" xfId="0" applyFont="1" applyBorder="1"/>
    <xf numFmtId="0" fontId="15" fillId="0" borderId="12" xfId="0" applyFont="1" applyBorder="1"/>
    <xf numFmtId="165" fontId="11" fillId="5" borderId="0" xfId="1" applyNumberFormat="1" applyFont="1" applyFill="1" applyBorder="1"/>
    <xf numFmtId="0" fontId="11" fillId="0" borderId="0" xfId="0" applyFont="1" applyAlignment="1">
      <alignment horizontal="right"/>
    </xf>
    <xf numFmtId="165" fontId="28" fillId="5" borderId="12" xfId="1" applyNumberFormat="1" applyFont="1" applyFill="1" applyBorder="1"/>
    <xf numFmtId="165" fontId="32" fillId="6" borderId="13" xfId="0" applyNumberFormat="1" applyFont="1" applyFill="1" applyBorder="1"/>
    <xf numFmtId="0" fontId="15" fillId="0" borderId="13" xfId="0" applyFont="1" applyBorder="1" applyAlignment="1">
      <alignment horizontal="right"/>
    </xf>
    <xf numFmtId="165" fontId="15" fillId="0" borderId="28" xfId="1" applyNumberFormat="1" applyFont="1" applyBorder="1"/>
    <xf numFmtId="165" fontId="52" fillId="5" borderId="0" xfId="0" applyNumberFormat="1" applyFont="1" applyFill="1"/>
    <xf numFmtId="0" fontId="0" fillId="5" borderId="0" xfId="0" applyFill="1" applyAlignment="1">
      <alignment horizontal="left"/>
    </xf>
    <xf numFmtId="165" fontId="0" fillId="0" borderId="0" xfId="0" applyNumberFormat="1"/>
    <xf numFmtId="0" fontId="28" fillId="0" borderId="0" xfId="0" applyFont="1"/>
    <xf numFmtId="15" fontId="16" fillId="0" borderId="11" xfId="0" applyNumberFormat="1" applyFont="1" applyBorder="1" applyAlignment="1">
      <alignment horizontal="center"/>
    </xf>
    <xf numFmtId="15" fontId="0" fillId="0" borderId="11" xfId="0" applyNumberFormat="1" applyBorder="1" applyAlignment="1">
      <alignment horizontal="center"/>
    </xf>
    <xf numFmtId="16" fontId="10" fillId="0" borderId="4" xfId="0" quotePrefix="1" applyNumberFormat="1" applyFont="1" applyBorder="1" applyAlignment="1">
      <alignment horizontal="center"/>
    </xf>
    <xf numFmtId="15" fontId="0" fillId="0" borderId="0" xfId="0" applyNumberFormat="1" applyAlignment="1">
      <alignment horizontal="center"/>
    </xf>
    <xf numFmtId="164" fontId="10" fillId="0" borderId="7" xfId="1" applyFont="1" applyBorder="1" applyAlignment="1">
      <alignment horizontal="right"/>
    </xf>
    <xf numFmtId="15" fontId="56" fillId="0" borderId="11" xfId="0" applyNumberFormat="1" applyFont="1" applyBorder="1" applyAlignment="1">
      <alignment horizontal="right"/>
    </xf>
    <xf numFmtId="0" fontId="34" fillId="0" borderId="30" xfId="0" applyFont="1" applyBorder="1"/>
    <xf numFmtId="0" fontId="36" fillId="0" borderId="23" xfId="0" applyFont="1" applyBorder="1"/>
    <xf numFmtId="164" fontId="36" fillId="0" borderId="24" xfId="1" applyFont="1" applyBorder="1"/>
    <xf numFmtId="165" fontId="36" fillId="0" borderId="34" xfId="1" applyNumberFormat="1" applyFont="1" applyBorder="1"/>
    <xf numFmtId="164" fontId="34" fillId="0" borderId="30" xfId="0" applyNumberFormat="1" applyFont="1" applyBorder="1"/>
    <xf numFmtId="15" fontId="14" fillId="0" borderId="0" xfId="0" applyNumberFormat="1" applyFont="1" applyAlignment="1">
      <alignment horizontal="center"/>
    </xf>
    <xf numFmtId="0" fontId="57" fillId="0" borderId="0" xfId="0" applyFont="1"/>
    <xf numFmtId="0" fontId="58" fillId="0" borderId="0" xfId="0" applyFont="1"/>
    <xf numFmtId="0" fontId="14" fillId="0" borderId="0" xfId="0" applyFont="1"/>
    <xf numFmtId="0" fontId="34" fillId="0" borderId="0" xfId="0" applyFont="1"/>
    <xf numFmtId="164" fontId="34" fillId="0" borderId="0" xfId="1" applyFont="1"/>
    <xf numFmtId="0" fontId="34" fillId="0" borderId="24" xfId="0" applyFont="1" applyBorder="1"/>
    <xf numFmtId="165" fontId="14" fillId="0" borderId="0" xfId="1" applyNumberFormat="1" applyFont="1"/>
    <xf numFmtId="165" fontId="14" fillId="0" borderId="0" xfId="0" applyNumberFormat="1" applyFont="1"/>
    <xf numFmtId="17" fontId="59" fillId="0" borderId="0" xfId="0" applyNumberFormat="1" applyFont="1" applyAlignment="1">
      <alignment horizontal="left"/>
    </xf>
    <xf numFmtId="164" fontId="36" fillId="0" borderId="0" xfId="1" applyFont="1" applyAlignment="1">
      <alignment horizontal="center"/>
    </xf>
    <xf numFmtId="165" fontId="34" fillId="0" borderId="24" xfId="1" applyNumberFormat="1" applyFont="1" applyBorder="1"/>
    <xf numFmtId="164" fontId="60" fillId="0" borderId="0" xfId="1" applyFont="1"/>
    <xf numFmtId="164" fontId="0" fillId="0" borderId="0" xfId="1" applyFont="1"/>
    <xf numFmtId="0" fontId="61" fillId="0" borderId="24" xfId="0" applyFont="1" applyBorder="1"/>
    <xf numFmtId="164" fontId="61" fillId="0" borderId="24" xfId="1" applyFont="1" applyBorder="1"/>
    <xf numFmtId="0" fontId="45" fillId="0" borderId="8" xfId="0" applyFont="1" applyBorder="1"/>
    <xf numFmtId="0" fontId="60" fillId="0" borderId="0" xfId="0" applyFont="1"/>
    <xf numFmtId="0" fontId="62" fillId="0" borderId="0" xfId="0" applyFont="1"/>
    <xf numFmtId="164" fontId="62" fillId="0" borderId="0" xfId="1" applyFont="1"/>
    <xf numFmtId="0" fontId="62" fillId="0" borderId="24" xfId="0" applyFont="1" applyBorder="1"/>
    <xf numFmtId="164" fontId="62" fillId="0" borderId="24" xfId="1" applyFont="1" applyBorder="1"/>
    <xf numFmtId="164" fontId="63" fillId="0" borderId="19" xfId="1" applyFont="1" applyBorder="1"/>
    <xf numFmtId="0" fontId="64" fillId="0" borderId="0" xfId="0" applyFont="1"/>
    <xf numFmtId="0" fontId="19" fillId="0" borderId="8" xfId="0" applyFont="1" applyBorder="1"/>
    <xf numFmtId="0" fontId="57" fillId="0" borderId="13" xfId="0" applyFont="1" applyBorder="1"/>
    <xf numFmtId="164" fontId="34" fillId="0" borderId="13" xfId="1" applyFont="1" applyFill="1" applyBorder="1"/>
    <xf numFmtId="0" fontId="57" fillId="0" borderId="24" xfId="0" applyFont="1" applyBorder="1"/>
    <xf numFmtId="0" fontId="65" fillId="0" borderId="24" xfId="0" applyFont="1" applyBorder="1"/>
    <xf numFmtId="164" fontId="65" fillId="0" borderId="24" xfId="0" applyNumberFormat="1" applyFont="1" applyBorder="1"/>
    <xf numFmtId="0" fontId="65" fillId="0" borderId="0" xfId="0" applyFont="1"/>
    <xf numFmtId="0" fontId="34" fillId="0" borderId="35" xfId="0" applyFont="1" applyBorder="1"/>
    <xf numFmtId="164" fontId="34" fillId="0" borderId="35" xfId="1" applyFont="1" applyBorder="1"/>
    <xf numFmtId="164" fontId="34" fillId="0" borderId="35" xfId="0" applyNumberFormat="1" applyFont="1" applyBorder="1"/>
    <xf numFmtId="0" fontId="57" fillId="0" borderId="35" xfId="0" applyFont="1" applyBorder="1"/>
    <xf numFmtId="164" fontId="57" fillId="0" borderId="35" xfId="1" applyFont="1" applyBorder="1"/>
    <xf numFmtId="0" fontId="14" fillId="0" borderId="13" xfId="0" applyFont="1" applyBorder="1"/>
    <xf numFmtId="164" fontId="0" fillId="0" borderId="13" xfId="1" applyFont="1" applyBorder="1"/>
    <xf numFmtId="0" fontId="34" fillId="0" borderId="13" xfId="0" applyFont="1" applyBorder="1"/>
    <xf numFmtId="0" fontId="7" fillId="0" borderId="0" xfId="0" applyFont="1"/>
    <xf numFmtId="164" fontId="60" fillId="0" borderId="24" xfId="1" applyFont="1" applyBorder="1"/>
    <xf numFmtId="164" fontId="65" fillId="0" borderId="24" xfId="1" applyFont="1" applyBorder="1"/>
    <xf numFmtId="164" fontId="53" fillId="0" borderId="24" xfId="1" applyFont="1" applyBorder="1"/>
    <xf numFmtId="0" fontId="6" fillId="0" borderId="0" xfId="0" applyFont="1"/>
    <xf numFmtId="15" fontId="65" fillId="0" borderId="0" xfId="0" applyNumberFormat="1" applyFont="1"/>
    <xf numFmtId="164" fontId="65" fillId="0" borderId="0" xfId="1" applyFont="1"/>
    <xf numFmtId="15" fontId="0" fillId="0" borderId="0" xfId="0" applyNumberFormat="1"/>
    <xf numFmtId="0" fontId="5" fillId="0" borderId="0" xfId="0" applyFont="1"/>
    <xf numFmtId="164" fontId="57" fillId="0" borderId="0" xfId="1" applyFont="1"/>
    <xf numFmtId="0" fontId="4" fillId="0" borderId="0" xfId="0" applyFont="1"/>
    <xf numFmtId="0" fontId="3" fillId="0" borderId="0" xfId="0" applyFont="1"/>
    <xf numFmtId="0" fontId="60" fillId="0" borderId="24" xfId="0" applyFont="1" applyBorder="1"/>
    <xf numFmtId="164" fontId="61" fillId="0" borderId="24" xfId="0" applyNumberFormat="1" applyFont="1" applyBorder="1"/>
    <xf numFmtId="0" fontId="66" fillId="0" borderId="24" xfId="0" applyFont="1" applyBorder="1"/>
    <xf numFmtId="15" fontId="3" fillId="0" borderId="0" xfId="0" applyNumberFormat="1" applyFont="1"/>
    <xf numFmtId="164" fontId="14" fillId="0" borderId="0" xfId="1" applyFont="1" applyFill="1" applyBorder="1"/>
    <xf numFmtId="0" fontId="2" fillId="0" borderId="0" xfId="0" applyFont="1"/>
    <xf numFmtId="15" fontId="2" fillId="0" borderId="0" xfId="0" applyNumberFormat="1" applyFont="1"/>
    <xf numFmtId="0" fontId="14" fillId="0" borderId="0" xfId="0" applyFont="1" applyAlignment="1">
      <alignment horizontal="center"/>
    </xf>
    <xf numFmtId="165" fontId="1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3"/>
  <sheetViews>
    <sheetView tabSelected="1" view="pageBreakPreview" zoomScale="130" zoomScaleNormal="130" zoomScaleSheetLayoutView="130" workbookViewId="0">
      <pane ySplit="1" topLeftCell="A1434" activePane="bottomLeft" state="frozen"/>
      <selection pane="bottomLeft" activeCell="C1449" sqref="C1449"/>
    </sheetView>
  </sheetViews>
  <sheetFormatPr defaultColWidth="9.140625" defaultRowHeight="15"/>
  <cols>
    <col min="1" max="1" width="7.28515625" customWidth="1"/>
    <col min="2" max="2" width="9.28515625" style="176" customWidth="1"/>
    <col min="3" max="3" width="25.140625" customWidth="1"/>
    <col min="4" max="4" width="13" customWidth="1"/>
    <col min="5" max="5" width="12.140625" customWidth="1"/>
    <col min="6" max="6" width="7.5703125" customWidth="1"/>
    <col min="7" max="7" width="4.140625" style="176" customWidth="1"/>
    <col min="8" max="8" width="6.7109375" customWidth="1"/>
    <col min="9" max="9" width="5" customWidth="1"/>
    <col min="10" max="10" width="12.28515625" customWidth="1"/>
    <col min="11" max="11" width="18.5703125" customWidth="1"/>
    <col min="12" max="12" width="8.28515625" customWidth="1"/>
    <col min="13" max="13" width="10" style="80" customWidth="1"/>
    <col min="14" max="14" width="10" customWidth="1"/>
    <col min="15" max="15" width="10" style="177" customWidth="1"/>
    <col min="16" max="17" width="10" style="178" customWidth="1"/>
    <col min="18" max="19" width="10" customWidth="1"/>
  </cols>
  <sheetData>
    <row r="1" spans="1:21" ht="36" customHeight="1">
      <c r="A1" s="179" t="s">
        <v>0</v>
      </c>
      <c r="B1" s="180" t="s">
        <v>1</v>
      </c>
      <c r="C1" s="181"/>
      <c r="D1" s="182" t="s">
        <v>2</v>
      </c>
      <c r="E1" s="182"/>
      <c r="F1" s="183">
        <v>0.5</v>
      </c>
      <c r="G1" s="182"/>
      <c r="H1" s="184" t="s">
        <v>3</v>
      </c>
      <c r="I1" s="274" t="s">
        <v>4</v>
      </c>
      <c r="J1" s="275" t="s">
        <v>5</v>
      </c>
      <c r="K1" s="276" t="s">
        <v>6</v>
      </c>
      <c r="L1" s="277" t="s">
        <v>7</v>
      </c>
      <c r="M1" s="278"/>
    </row>
    <row r="2" spans="1:21" ht="23.25" customHeight="1">
      <c r="A2" s="185" t="s">
        <v>8</v>
      </c>
      <c r="B2" s="186" t="s">
        <v>9</v>
      </c>
      <c r="C2" s="187"/>
      <c r="D2" s="187"/>
      <c r="E2" s="187"/>
      <c r="F2" s="188"/>
      <c r="G2" s="189"/>
      <c r="H2" s="188"/>
      <c r="I2" s="187"/>
      <c r="J2" s="187"/>
      <c r="K2" s="187"/>
      <c r="L2" s="187"/>
    </row>
    <row r="3" spans="1:21" ht="23.25" customHeight="1">
      <c r="A3" s="190" t="s">
        <v>10</v>
      </c>
      <c r="B3" s="191">
        <v>45318</v>
      </c>
      <c r="C3" s="192" t="s">
        <v>11</v>
      </c>
      <c r="D3" s="193" t="s">
        <v>12</v>
      </c>
      <c r="E3" s="194">
        <v>8000</v>
      </c>
      <c r="F3" s="195">
        <f t="shared" ref="F3:F5" si="0">SUM(E3*0.5)</f>
        <v>4000</v>
      </c>
      <c r="G3" s="196">
        <v>1</v>
      </c>
      <c r="H3" s="197">
        <f t="shared" ref="H3:H5" si="1">SUM(G3*200)</f>
        <v>200</v>
      </c>
      <c r="I3" s="194">
        <v>20</v>
      </c>
      <c r="J3" s="279">
        <v>8220</v>
      </c>
      <c r="K3" s="280" t="s">
        <v>13</v>
      </c>
      <c r="L3" s="281">
        <v>8000</v>
      </c>
      <c r="T3" s="205"/>
      <c r="U3" s="230"/>
    </row>
    <row r="4" spans="1:21" ht="23.25" customHeight="1">
      <c r="A4" s="198" t="s">
        <v>14</v>
      </c>
      <c r="B4" s="199">
        <v>45306</v>
      </c>
      <c r="C4" s="200" t="s">
        <v>15</v>
      </c>
      <c r="D4" s="201" t="s">
        <v>16</v>
      </c>
      <c r="E4" s="202">
        <v>8000</v>
      </c>
      <c r="F4" s="195">
        <f t="shared" si="0"/>
        <v>4000</v>
      </c>
      <c r="G4" s="203">
        <v>2</v>
      </c>
      <c r="H4" s="197">
        <f t="shared" si="1"/>
        <v>400</v>
      </c>
      <c r="I4" s="206">
        <v>20</v>
      </c>
      <c r="J4" s="282">
        <v>8420</v>
      </c>
      <c r="K4" s="283" t="s">
        <v>17</v>
      </c>
      <c r="L4" s="284">
        <v>8000</v>
      </c>
      <c r="N4" s="285"/>
      <c r="O4" s="286"/>
      <c r="P4" s="287"/>
      <c r="Q4" s="287"/>
      <c r="T4" s="205"/>
      <c r="U4" s="205"/>
    </row>
    <row r="5" spans="1:21" ht="23.25" customHeight="1">
      <c r="A5" s="190" t="s">
        <v>18</v>
      </c>
      <c r="B5" s="199">
        <v>45324</v>
      </c>
      <c r="C5" s="204" t="s">
        <v>19</v>
      </c>
      <c r="D5" s="205" t="s">
        <v>20</v>
      </c>
      <c r="E5" s="202">
        <v>8000</v>
      </c>
      <c r="F5" s="195">
        <f t="shared" si="0"/>
        <v>4000</v>
      </c>
      <c r="G5" s="203">
        <v>1</v>
      </c>
      <c r="H5" s="197">
        <f t="shared" si="1"/>
        <v>200</v>
      </c>
      <c r="I5" s="206">
        <v>20</v>
      </c>
      <c r="J5" s="282">
        <f>SUM(E5,H5:I5)</f>
        <v>8220</v>
      </c>
      <c r="K5" s="288" t="s">
        <v>21</v>
      </c>
      <c r="L5" s="284">
        <v>8000</v>
      </c>
      <c r="N5" s="285"/>
      <c r="O5" s="289"/>
      <c r="P5" s="15"/>
      <c r="Q5" s="15"/>
      <c r="T5" s="205"/>
      <c r="U5" s="327"/>
    </row>
    <row r="6" spans="1:21" ht="23.25" customHeight="1">
      <c r="A6" s="190" t="s">
        <v>22</v>
      </c>
      <c r="B6" s="199">
        <v>45303</v>
      </c>
      <c r="C6" s="26" t="s">
        <v>23</v>
      </c>
      <c r="D6" s="205" t="s">
        <v>24</v>
      </c>
      <c r="E6" s="206">
        <v>7250</v>
      </c>
      <c r="F6" s="195">
        <f t="shared" ref="F6:F24" si="2">SUM(E6*0.5)</f>
        <v>3625</v>
      </c>
      <c r="G6" s="203">
        <v>1</v>
      </c>
      <c r="H6" s="197">
        <f t="shared" ref="H6:H24" si="3">SUM(G6*200)</f>
        <v>200</v>
      </c>
      <c r="I6" s="206">
        <v>20</v>
      </c>
      <c r="J6" s="282">
        <f>SUM(E6,H6:I6)</f>
        <v>7470</v>
      </c>
      <c r="K6" s="290" t="s">
        <v>25</v>
      </c>
      <c r="L6" s="291">
        <v>5000</v>
      </c>
      <c r="N6" s="285"/>
      <c r="O6" s="286"/>
      <c r="P6" s="287"/>
      <c r="Q6" s="287"/>
      <c r="T6" s="205"/>
      <c r="U6" s="327"/>
    </row>
    <row r="7" spans="1:21" ht="23.25" customHeight="1">
      <c r="A7" s="190" t="s">
        <v>26</v>
      </c>
      <c r="B7" s="199">
        <v>45306</v>
      </c>
      <c r="C7" s="207" t="s">
        <v>27</v>
      </c>
      <c r="D7" s="208" t="s">
        <v>28</v>
      </c>
      <c r="E7" s="209">
        <v>6000</v>
      </c>
      <c r="F7" s="195">
        <f t="shared" si="2"/>
        <v>3000</v>
      </c>
      <c r="G7" s="210">
        <v>1</v>
      </c>
      <c r="H7" s="197">
        <f t="shared" si="3"/>
        <v>200</v>
      </c>
      <c r="I7" s="209">
        <v>20</v>
      </c>
      <c r="J7" s="254">
        <v>6220</v>
      </c>
      <c r="K7" s="24" t="s">
        <v>29</v>
      </c>
      <c r="L7" s="291">
        <v>6000</v>
      </c>
      <c r="N7" s="285"/>
      <c r="O7" s="292"/>
      <c r="P7" s="293"/>
      <c r="Q7" s="293"/>
      <c r="T7" s="205"/>
      <c r="U7" s="327"/>
    </row>
    <row r="8" spans="1:21" ht="23.25" customHeight="1">
      <c r="A8" s="190" t="s">
        <v>30</v>
      </c>
      <c r="B8" s="199">
        <v>45325</v>
      </c>
      <c r="C8" s="204" t="s">
        <v>31</v>
      </c>
      <c r="D8" s="205" t="s">
        <v>16</v>
      </c>
      <c r="E8" s="209">
        <v>6000</v>
      </c>
      <c r="F8" s="195">
        <f t="shared" si="2"/>
        <v>3000</v>
      </c>
      <c r="G8" s="210">
        <v>1</v>
      </c>
      <c r="H8" s="197">
        <f t="shared" si="3"/>
        <v>200</v>
      </c>
      <c r="I8" s="209">
        <v>20</v>
      </c>
      <c r="J8" s="254">
        <v>6200</v>
      </c>
      <c r="K8" s="294" t="s">
        <v>32</v>
      </c>
      <c r="L8" s="291">
        <v>6000</v>
      </c>
      <c r="N8" s="285"/>
      <c r="O8" s="292"/>
      <c r="P8" s="293"/>
      <c r="Q8" s="293"/>
      <c r="T8" s="205"/>
      <c r="U8" s="327"/>
    </row>
    <row r="9" spans="1:21" ht="23.25" customHeight="1">
      <c r="A9" s="190" t="s">
        <v>33</v>
      </c>
      <c r="B9" s="199">
        <v>45321</v>
      </c>
      <c r="C9" s="204" t="s">
        <v>34</v>
      </c>
      <c r="D9" s="205" t="s">
        <v>16</v>
      </c>
      <c r="E9" s="202">
        <v>6000</v>
      </c>
      <c r="F9" s="195">
        <f t="shared" si="2"/>
        <v>3000</v>
      </c>
      <c r="G9" s="210">
        <v>1</v>
      </c>
      <c r="H9" s="197">
        <f t="shared" si="3"/>
        <v>200</v>
      </c>
      <c r="I9" s="202">
        <v>20</v>
      </c>
      <c r="J9" s="197">
        <v>6220</v>
      </c>
      <c r="K9" s="288" t="s">
        <v>17</v>
      </c>
      <c r="L9" s="284">
        <v>6000</v>
      </c>
      <c r="N9" s="285"/>
      <c r="O9" s="292"/>
      <c r="P9" s="293"/>
      <c r="Q9" s="293"/>
      <c r="T9" s="205"/>
      <c r="U9" s="327"/>
    </row>
    <row r="10" spans="1:21" ht="23.25" customHeight="1">
      <c r="A10" s="190" t="s">
        <v>35</v>
      </c>
      <c r="B10" s="199">
        <v>45296</v>
      </c>
      <c r="C10" s="211" t="s">
        <v>36</v>
      </c>
      <c r="D10" s="177" t="s">
        <v>37</v>
      </c>
      <c r="E10" s="212">
        <v>6000</v>
      </c>
      <c r="F10" s="195">
        <f t="shared" si="2"/>
        <v>3000</v>
      </c>
      <c r="G10" s="210">
        <v>1</v>
      </c>
      <c r="H10" s="197">
        <f t="shared" si="3"/>
        <v>200</v>
      </c>
      <c r="I10" s="206">
        <v>20</v>
      </c>
      <c r="J10" s="282">
        <v>6220</v>
      </c>
      <c r="K10" s="295" t="s">
        <v>38</v>
      </c>
      <c r="L10" s="284">
        <v>6000</v>
      </c>
      <c r="N10" s="285"/>
      <c r="O10" s="292"/>
      <c r="P10" s="293"/>
      <c r="Q10" s="293"/>
      <c r="T10" s="205"/>
      <c r="U10" s="327"/>
    </row>
    <row r="11" spans="1:21" ht="23.25" customHeight="1">
      <c r="A11" s="213" t="s">
        <v>39</v>
      </c>
      <c r="B11" s="199">
        <v>45325</v>
      </c>
      <c r="C11" s="14" t="s">
        <v>40</v>
      </c>
      <c r="D11" s="205" t="s">
        <v>41</v>
      </c>
      <c r="E11" s="202">
        <v>8000</v>
      </c>
      <c r="F11" s="195">
        <f t="shared" si="2"/>
        <v>4000</v>
      </c>
      <c r="G11" s="203">
        <v>1</v>
      </c>
      <c r="H11" s="197">
        <f t="shared" si="3"/>
        <v>200</v>
      </c>
      <c r="I11" s="202">
        <v>20</v>
      </c>
      <c r="J11" s="282">
        <f>SUM(E11,H11:I11)</f>
        <v>8220</v>
      </c>
      <c r="K11" s="288" t="s">
        <v>42</v>
      </c>
      <c r="L11" s="284">
        <v>8000</v>
      </c>
      <c r="N11" s="285"/>
      <c r="O11" s="292"/>
      <c r="P11" s="293"/>
      <c r="Q11" s="293"/>
      <c r="T11" s="177"/>
      <c r="U11" s="230"/>
    </row>
    <row r="12" spans="1:21" ht="23.25" customHeight="1">
      <c r="A12" s="213" t="s">
        <v>43</v>
      </c>
      <c r="B12" s="199">
        <v>45321</v>
      </c>
      <c r="C12" s="204" t="s">
        <v>44</v>
      </c>
      <c r="D12" s="14" t="s">
        <v>45</v>
      </c>
      <c r="E12" s="202">
        <v>8000</v>
      </c>
      <c r="F12" s="195">
        <f t="shared" si="2"/>
        <v>4000</v>
      </c>
      <c r="G12" s="203">
        <v>2</v>
      </c>
      <c r="H12" s="197">
        <f t="shared" si="3"/>
        <v>400</v>
      </c>
      <c r="I12" s="206">
        <v>20</v>
      </c>
      <c r="J12" s="282">
        <f>SUM(E12,H12:I12)</f>
        <v>8420</v>
      </c>
      <c r="K12" s="288" t="s">
        <v>46</v>
      </c>
      <c r="L12" s="284">
        <v>8000</v>
      </c>
      <c r="N12" s="285"/>
      <c r="O12" s="292"/>
      <c r="P12" s="293"/>
      <c r="Q12" s="293"/>
      <c r="T12" s="205"/>
      <c r="U12" s="327"/>
    </row>
    <row r="13" spans="1:21" ht="23.25" customHeight="1">
      <c r="A13" s="213" t="s">
        <v>47</v>
      </c>
      <c r="B13" s="199">
        <v>45320</v>
      </c>
      <c r="C13" s="204" t="s">
        <v>48</v>
      </c>
      <c r="D13" s="205" t="s">
        <v>49</v>
      </c>
      <c r="E13" s="202">
        <v>8000</v>
      </c>
      <c r="F13" s="195">
        <f t="shared" si="2"/>
        <v>4000</v>
      </c>
      <c r="G13" s="203">
        <v>3</v>
      </c>
      <c r="H13" s="197">
        <f t="shared" si="3"/>
        <v>600</v>
      </c>
      <c r="I13" s="202">
        <v>20</v>
      </c>
      <c r="J13" s="282">
        <v>8600</v>
      </c>
      <c r="K13" s="288" t="s">
        <v>50</v>
      </c>
      <c r="L13" s="291">
        <v>8000</v>
      </c>
      <c r="N13" s="285"/>
      <c r="O13" s="292"/>
      <c r="P13" s="293"/>
      <c r="Q13" s="293"/>
      <c r="T13" s="205"/>
      <c r="U13" s="327"/>
    </row>
    <row r="14" spans="1:21" ht="23.25" customHeight="1">
      <c r="A14" s="213" t="s">
        <v>51</v>
      </c>
      <c r="B14" s="199">
        <v>45310</v>
      </c>
      <c r="C14" s="207" t="s">
        <v>52</v>
      </c>
      <c r="D14" s="205" t="s">
        <v>53</v>
      </c>
      <c r="E14" s="212">
        <v>8500</v>
      </c>
      <c r="F14" s="195">
        <f t="shared" si="2"/>
        <v>4250</v>
      </c>
      <c r="G14" s="210">
        <v>4</v>
      </c>
      <c r="H14" s="197">
        <f t="shared" si="3"/>
        <v>800</v>
      </c>
      <c r="I14" s="212">
        <v>20</v>
      </c>
      <c r="J14" s="282">
        <v>9300</v>
      </c>
      <c r="K14" s="295" t="s">
        <v>54</v>
      </c>
      <c r="L14" s="284">
        <v>8500</v>
      </c>
      <c r="N14" s="285"/>
      <c r="O14" s="292"/>
      <c r="P14" s="293"/>
      <c r="Q14" s="293"/>
      <c r="T14" s="177"/>
      <c r="U14" s="230"/>
    </row>
    <row r="15" spans="1:21" ht="23.25" customHeight="1">
      <c r="A15" s="213" t="s">
        <v>55</v>
      </c>
      <c r="B15" s="199">
        <v>45317</v>
      </c>
      <c r="C15" s="204" t="s">
        <v>56</v>
      </c>
      <c r="D15" s="205" t="s">
        <v>49</v>
      </c>
      <c r="E15" s="202">
        <v>7500</v>
      </c>
      <c r="F15" s="195">
        <f t="shared" si="2"/>
        <v>3750</v>
      </c>
      <c r="G15" s="203">
        <v>2</v>
      </c>
      <c r="H15" s="197">
        <f t="shared" si="3"/>
        <v>400</v>
      </c>
      <c r="I15" s="206">
        <v>20</v>
      </c>
      <c r="J15" s="282">
        <v>7920</v>
      </c>
      <c r="K15" s="288" t="s">
        <v>57</v>
      </c>
      <c r="L15" s="284">
        <v>7500</v>
      </c>
      <c r="N15" s="285"/>
      <c r="O15" s="292"/>
      <c r="P15" s="293"/>
      <c r="Q15" s="293"/>
      <c r="T15" s="205"/>
      <c r="U15" s="327"/>
    </row>
    <row r="16" spans="1:21" ht="23.25" customHeight="1">
      <c r="A16" s="213" t="s">
        <v>58</v>
      </c>
      <c r="B16" s="199">
        <v>45315</v>
      </c>
      <c r="C16" s="204" t="s">
        <v>59</v>
      </c>
      <c r="D16" s="205" t="s">
        <v>16</v>
      </c>
      <c r="E16" s="202">
        <v>6000</v>
      </c>
      <c r="F16" s="195">
        <f t="shared" si="2"/>
        <v>3000</v>
      </c>
      <c r="G16" s="203">
        <v>3</v>
      </c>
      <c r="H16" s="197">
        <f t="shared" si="3"/>
        <v>600</v>
      </c>
      <c r="I16" s="206">
        <v>20</v>
      </c>
      <c r="J16" s="254">
        <v>6620</v>
      </c>
      <c r="K16" s="296" t="s">
        <v>17</v>
      </c>
      <c r="L16" s="284">
        <v>6000</v>
      </c>
      <c r="N16" s="285"/>
      <c r="O16" s="289"/>
      <c r="P16" s="297"/>
      <c r="Q16" s="297"/>
      <c r="T16" s="205"/>
      <c r="U16" s="327"/>
    </row>
    <row r="17" spans="1:21" ht="23.25" customHeight="1">
      <c r="A17" s="213" t="s">
        <v>60</v>
      </c>
      <c r="B17" s="199">
        <v>45315</v>
      </c>
      <c r="C17" s="204" t="s">
        <v>61</v>
      </c>
      <c r="D17" s="205" t="s">
        <v>16</v>
      </c>
      <c r="E17" s="202">
        <v>6000</v>
      </c>
      <c r="F17" s="195">
        <f t="shared" si="2"/>
        <v>3000</v>
      </c>
      <c r="G17" s="203">
        <v>1</v>
      </c>
      <c r="H17" s="197">
        <f t="shared" si="3"/>
        <v>200</v>
      </c>
      <c r="I17" s="206">
        <v>20</v>
      </c>
      <c r="J17" s="282">
        <v>6220</v>
      </c>
      <c r="K17" s="288" t="s">
        <v>62</v>
      </c>
      <c r="L17" s="284">
        <v>6000</v>
      </c>
      <c r="N17" s="285"/>
      <c r="O17" s="298"/>
      <c r="P17" s="299"/>
      <c r="Q17" s="299"/>
      <c r="T17" s="205"/>
      <c r="U17" s="327"/>
    </row>
    <row r="18" spans="1:21" ht="23.25" customHeight="1">
      <c r="A18" s="214" t="s">
        <v>63</v>
      </c>
      <c r="B18" s="199">
        <v>45318</v>
      </c>
      <c r="C18" s="204" t="s">
        <v>64</v>
      </c>
      <c r="D18" s="205" t="s">
        <v>65</v>
      </c>
      <c r="E18" s="206">
        <v>8500</v>
      </c>
      <c r="F18" s="195">
        <f t="shared" si="2"/>
        <v>4250</v>
      </c>
      <c r="G18" s="203">
        <v>3</v>
      </c>
      <c r="H18" s="197">
        <f t="shared" si="3"/>
        <v>600</v>
      </c>
      <c r="I18" s="206">
        <v>20</v>
      </c>
      <c r="J18" s="282">
        <v>9120</v>
      </c>
      <c r="K18" s="288" t="s">
        <v>66</v>
      </c>
      <c r="L18" s="291">
        <v>8500</v>
      </c>
      <c r="N18" s="285"/>
      <c r="O18" s="289"/>
      <c r="P18" s="15"/>
      <c r="Q18" s="15"/>
      <c r="T18" s="205"/>
      <c r="U18" s="327"/>
    </row>
    <row r="19" spans="1:21" ht="23.25" customHeight="1">
      <c r="A19" s="214" t="s">
        <v>67</v>
      </c>
      <c r="B19" s="199">
        <v>45318</v>
      </c>
      <c r="C19" s="204" t="s">
        <v>68</v>
      </c>
      <c r="D19" s="205" t="s">
        <v>69</v>
      </c>
      <c r="E19" s="206">
        <v>8500</v>
      </c>
      <c r="F19" s="195">
        <f t="shared" si="2"/>
        <v>4250</v>
      </c>
      <c r="G19" s="203">
        <v>4</v>
      </c>
      <c r="H19" s="197">
        <f t="shared" si="3"/>
        <v>800</v>
      </c>
      <c r="I19" s="206">
        <v>20</v>
      </c>
      <c r="J19" s="282">
        <v>9300</v>
      </c>
      <c r="K19" s="295" t="s">
        <v>70</v>
      </c>
      <c r="L19" s="284">
        <v>8500</v>
      </c>
      <c r="N19" s="285"/>
      <c r="O19" s="289"/>
      <c r="P19" s="297"/>
      <c r="Q19" s="297"/>
      <c r="T19" s="205"/>
      <c r="U19" s="327"/>
    </row>
    <row r="20" spans="1:21" ht="23.25" customHeight="1">
      <c r="A20" s="214" t="s">
        <v>71</v>
      </c>
      <c r="B20" s="199">
        <v>45321</v>
      </c>
      <c r="C20" s="204" t="s">
        <v>72</v>
      </c>
      <c r="D20" s="205" t="s">
        <v>65</v>
      </c>
      <c r="E20" s="206">
        <v>8000</v>
      </c>
      <c r="F20" s="195">
        <f t="shared" si="2"/>
        <v>4000</v>
      </c>
      <c r="G20" s="203">
        <v>3</v>
      </c>
      <c r="H20" s="197">
        <f t="shared" si="3"/>
        <v>600</v>
      </c>
      <c r="I20" s="206">
        <v>20</v>
      </c>
      <c r="J20" s="282">
        <v>8600</v>
      </c>
      <c r="K20" s="288" t="s">
        <v>73</v>
      </c>
      <c r="L20" s="291"/>
      <c r="N20" s="285"/>
      <c r="O20" s="300"/>
      <c r="P20" s="297"/>
      <c r="Q20" s="297"/>
      <c r="T20" s="205"/>
      <c r="U20" s="327"/>
    </row>
    <row r="21" spans="1:21" ht="23.25" customHeight="1">
      <c r="A21" s="214" t="s">
        <v>74</v>
      </c>
      <c r="B21" s="199">
        <v>45321</v>
      </c>
      <c r="C21" s="204" t="s">
        <v>75</v>
      </c>
      <c r="D21" s="205" t="s">
        <v>16</v>
      </c>
      <c r="E21" s="206">
        <v>8000</v>
      </c>
      <c r="F21" s="195">
        <f t="shared" si="2"/>
        <v>4000</v>
      </c>
      <c r="G21" s="203">
        <v>2</v>
      </c>
      <c r="H21" s="197">
        <f t="shared" si="3"/>
        <v>400</v>
      </c>
      <c r="I21" s="206">
        <v>20</v>
      </c>
      <c r="J21" s="282">
        <f>SUM(E21,H21:I21)</f>
        <v>8420</v>
      </c>
      <c r="K21" s="288" t="s">
        <v>76</v>
      </c>
      <c r="L21" s="291">
        <v>8000</v>
      </c>
      <c r="N21" s="285"/>
      <c r="O21" s="289"/>
      <c r="P21" s="297"/>
      <c r="Q21" s="297"/>
      <c r="T21" s="177"/>
      <c r="U21" s="309"/>
    </row>
    <row r="22" spans="1:21" ht="23.25" customHeight="1">
      <c r="A22" s="214" t="s">
        <v>77</v>
      </c>
      <c r="B22" s="199">
        <v>45296</v>
      </c>
      <c r="C22" s="207" t="s">
        <v>78</v>
      </c>
      <c r="D22" s="177" t="s">
        <v>79</v>
      </c>
      <c r="E22" s="207">
        <v>8000</v>
      </c>
      <c r="F22" s="195">
        <f t="shared" si="2"/>
        <v>4000</v>
      </c>
      <c r="G22" s="210">
        <v>4</v>
      </c>
      <c r="H22" s="197">
        <f t="shared" si="3"/>
        <v>800</v>
      </c>
      <c r="I22" s="207">
        <v>20</v>
      </c>
      <c r="J22" s="301">
        <v>8820</v>
      </c>
      <c r="K22" s="208" t="s">
        <v>80</v>
      </c>
      <c r="L22" s="302">
        <v>8500</v>
      </c>
      <c r="N22" s="285"/>
      <c r="O22" s="289"/>
      <c r="P22" s="15"/>
      <c r="Q22" s="15"/>
      <c r="T22" s="205"/>
      <c r="U22" s="327"/>
    </row>
    <row r="23" spans="1:21" ht="23.25" customHeight="1">
      <c r="A23" s="214" t="s">
        <v>81</v>
      </c>
      <c r="B23" s="199">
        <v>45316</v>
      </c>
      <c r="C23" s="207" t="s">
        <v>82</v>
      </c>
      <c r="D23" s="177" t="s">
        <v>65</v>
      </c>
      <c r="E23" s="209">
        <v>6000</v>
      </c>
      <c r="F23" s="195">
        <f t="shared" si="2"/>
        <v>3000</v>
      </c>
      <c r="G23" s="210">
        <v>1</v>
      </c>
      <c r="H23" s="197">
        <f t="shared" si="3"/>
        <v>200</v>
      </c>
      <c r="I23" s="206">
        <v>20</v>
      </c>
      <c r="J23" s="282">
        <v>6220</v>
      </c>
      <c r="K23" s="295" t="s">
        <v>83</v>
      </c>
      <c r="L23" s="291">
        <v>6000</v>
      </c>
      <c r="N23" s="285"/>
      <c r="O23" s="300"/>
      <c r="P23" s="15"/>
      <c r="Q23" s="15"/>
      <c r="T23" s="205"/>
      <c r="U23" s="300"/>
    </row>
    <row r="24" spans="1:21" ht="23.25" customHeight="1">
      <c r="A24" s="215" t="s">
        <v>84</v>
      </c>
      <c r="B24" s="216">
        <v>45316</v>
      </c>
      <c r="C24" s="217" t="s">
        <v>85</v>
      </c>
      <c r="D24" s="218" t="s">
        <v>86</v>
      </c>
      <c r="E24" s="219">
        <v>6000</v>
      </c>
      <c r="F24" s="195">
        <f t="shared" si="2"/>
        <v>3000</v>
      </c>
      <c r="G24" s="220">
        <v>2</v>
      </c>
      <c r="H24" s="197">
        <f t="shared" si="3"/>
        <v>400</v>
      </c>
      <c r="I24" s="219">
        <v>20</v>
      </c>
      <c r="J24" s="303">
        <v>6420</v>
      </c>
      <c r="K24" s="304" t="s">
        <v>87</v>
      </c>
      <c r="L24" s="305">
        <v>6000</v>
      </c>
      <c r="N24" s="285"/>
      <c r="O24" s="289"/>
      <c r="P24" s="297"/>
      <c r="Q24" s="297"/>
      <c r="T24" s="177"/>
      <c r="U24" s="230"/>
    </row>
    <row r="25" spans="1:21" ht="23.25" customHeight="1">
      <c r="A25" s="221"/>
      <c r="B25" s="222"/>
      <c r="C25" s="223"/>
      <c r="D25" s="224"/>
      <c r="E25" s="225">
        <f>SUM(E3:E24)</f>
        <v>160250</v>
      </c>
      <c r="F25" s="226">
        <f>SUM(F3:F24)</f>
        <v>80125</v>
      </c>
      <c r="G25" s="225">
        <f t="shared" ref="G25:J25" si="4">SUM(G3:G24)</f>
        <v>44</v>
      </c>
      <c r="H25" s="227">
        <f t="shared" si="4"/>
        <v>8800</v>
      </c>
      <c r="I25" s="225">
        <f t="shared" si="4"/>
        <v>440</v>
      </c>
      <c r="J25" s="227">
        <f t="shared" si="4"/>
        <v>169390</v>
      </c>
      <c r="K25" s="306"/>
      <c r="L25" s="307">
        <f>SUM(L3:L24)</f>
        <v>150500</v>
      </c>
      <c r="N25" s="308"/>
      <c r="O25" s="289"/>
      <c r="P25" s="293"/>
      <c r="Q25" s="293"/>
    </row>
    <row r="26" spans="1:21" ht="23.25" customHeight="1">
      <c r="A26" s="228" t="s">
        <v>88</v>
      </c>
      <c r="B26" s="229"/>
      <c r="C26" s="230"/>
      <c r="D26" s="205"/>
      <c r="E26" s="195"/>
      <c r="F26" s="195"/>
      <c r="G26" s="231"/>
      <c r="H26" s="195"/>
      <c r="I26" s="195"/>
      <c r="J26" s="230"/>
      <c r="K26" s="309"/>
      <c r="L26" s="291"/>
      <c r="N26" s="308"/>
      <c r="O26" s="289"/>
      <c r="P26" s="293"/>
      <c r="Q26" s="293"/>
    </row>
    <row r="27" spans="1:21" ht="23.25" customHeight="1">
      <c r="A27" s="176" t="s">
        <v>89</v>
      </c>
      <c r="B27" s="199">
        <v>45297</v>
      </c>
      <c r="C27" s="204" t="s">
        <v>90</v>
      </c>
      <c r="D27" s="205" t="s">
        <v>91</v>
      </c>
      <c r="E27" s="206">
        <v>10000</v>
      </c>
      <c r="F27" s="195"/>
      <c r="G27" s="232">
        <v>2</v>
      </c>
      <c r="H27" s="197">
        <f t="shared" ref="H27:H31" si="5">SUM(G27*200)</f>
        <v>400</v>
      </c>
      <c r="I27" s="206">
        <v>20</v>
      </c>
      <c r="J27" s="282">
        <v>10420</v>
      </c>
      <c r="K27" s="288" t="s">
        <v>92</v>
      </c>
      <c r="L27" s="291">
        <v>10000</v>
      </c>
      <c r="N27" s="308"/>
      <c r="O27" s="289"/>
      <c r="P27" s="293"/>
      <c r="Q27" s="293"/>
    </row>
    <row r="28" spans="1:21" ht="23.25" customHeight="1">
      <c r="A28" s="176" t="s">
        <v>93</v>
      </c>
      <c r="B28" s="199">
        <v>45313</v>
      </c>
      <c r="C28" s="207" t="s">
        <v>94</v>
      </c>
      <c r="D28" s="177" t="s">
        <v>95</v>
      </c>
      <c r="E28" s="212">
        <v>10000</v>
      </c>
      <c r="F28" s="233"/>
      <c r="G28" s="210">
        <v>2</v>
      </c>
      <c r="H28" s="197">
        <f t="shared" si="5"/>
        <v>400</v>
      </c>
      <c r="I28" s="202">
        <v>20</v>
      </c>
      <c r="J28" s="282">
        <v>10420</v>
      </c>
      <c r="K28" s="310" t="s">
        <v>96</v>
      </c>
      <c r="L28" s="284">
        <v>6000</v>
      </c>
      <c r="N28" s="308"/>
      <c r="O28" s="289"/>
      <c r="P28" s="293"/>
      <c r="Q28" s="293"/>
    </row>
    <row r="29" spans="1:21" ht="23.25" customHeight="1">
      <c r="A29" s="176" t="s">
        <v>97</v>
      </c>
      <c r="B29" s="199">
        <v>45295</v>
      </c>
      <c r="C29" s="204" t="s">
        <v>98</v>
      </c>
      <c r="D29" s="205" t="s">
        <v>37</v>
      </c>
      <c r="E29" s="234">
        <v>12000</v>
      </c>
      <c r="F29" s="235"/>
      <c r="G29" s="232">
        <v>2</v>
      </c>
      <c r="H29" s="197">
        <f t="shared" si="5"/>
        <v>400</v>
      </c>
      <c r="I29" s="206">
        <v>20</v>
      </c>
      <c r="J29" s="282">
        <v>12400</v>
      </c>
      <c r="K29" s="288" t="s">
        <v>99</v>
      </c>
      <c r="L29" s="291"/>
      <c r="N29" s="308"/>
      <c r="O29" s="289"/>
      <c r="P29" s="293"/>
      <c r="Q29" s="293"/>
    </row>
    <row r="30" spans="1:21" ht="23.25" customHeight="1">
      <c r="A30" s="176" t="s">
        <v>100</v>
      </c>
      <c r="B30" s="199">
        <v>45322</v>
      </c>
      <c r="C30" s="236" t="s">
        <v>101</v>
      </c>
      <c r="D30" s="205" t="s">
        <v>102</v>
      </c>
      <c r="E30" s="206">
        <v>10000</v>
      </c>
      <c r="F30" s="195"/>
      <c r="G30" s="232">
        <v>0</v>
      </c>
      <c r="H30" s="197">
        <f t="shared" si="5"/>
        <v>0</v>
      </c>
      <c r="I30" s="206"/>
      <c r="J30" s="282">
        <v>10000</v>
      </c>
      <c r="K30" s="311" t="s">
        <v>103</v>
      </c>
      <c r="L30" s="291">
        <v>10000</v>
      </c>
      <c r="N30" s="308"/>
      <c r="O30" s="289"/>
      <c r="P30" s="293"/>
      <c r="Q30" s="293"/>
    </row>
    <row r="31" spans="1:21" ht="23.25" customHeight="1">
      <c r="A31" s="176" t="s">
        <v>104</v>
      </c>
      <c r="B31" s="199">
        <v>45322</v>
      </c>
      <c r="C31" s="237" t="s">
        <v>105</v>
      </c>
      <c r="D31" s="205" t="s">
        <v>106</v>
      </c>
      <c r="E31" s="206">
        <v>12000</v>
      </c>
      <c r="F31" s="195"/>
      <c r="G31" s="238">
        <v>6</v>
      </c>
      <c r="H31" s="197">
        <f t="shared" si="5"/>
        <v>1200</v>
      </c>
      <c r="I31" s="219">
        <v>20</v>
      </c>
      <c r="J31" s="282">
        <v>13200</v>
      </c>
      <c r="K31" s="311" t="s">
        <v>107</v>
      </c>
      <c r="L31" s="291">
        <v>12000</v>
      </c>
      <c r="N31" s="308"/>
      <c r="O31" s="289"/>
      <c r="P31" s="293"/>
      <c r="Q31" s="293"/>
    </row>
    <row r="32" spans="1:21" ht="23.25" customHeight="1">
      <c r="A32" s="239"/>
      <c r="B32" s="240"/>
      <c r="C32" s="241" t="s">
        <v>108</v>
      </c>
      <c r="D32" s="242"/>
      <c r="E32" s="243">
        <f>SUM(E27:E31)</f>
        <v>54000</v>
      </c>
      <c r="F32" s="226"/>
      <c r="G32" s="226">
        <f>SUM(G27:G31)</f>
        <v>12</v>
      </c>
      <c r="H32" s="226">
        <f>SUM(H27:H31)</f>
        <v>2400</v>
      </c>
      <c r="I32" s="243">
        <f>SUM(I27:I31)</f>
        <v>80</v>
      </c>
      <c r="J32" s="226">
        <f>SUM(J27:J31)</f>
        <v>56440</v>
      </c>
      <c r="K32" s="306"/>
      <c r="L32" s="312">
        <f>SUM(L27:L31)</f>
        <v>38000</v>
      </c>
      <c r="N32" s="308"/>
      <c r="O32" s="289"/>
      <c r="P32" s="293"/>
      <c r="Q32" s="293"/>
    </row>
    <row r="33" spans="1:17" ht="23.25" customHeight="1">
      <c r="A33" s="228" t="s">
        <v>109</v>
      </c>
      <c r="B33" s="244"/>
      <c r="C33" s="245"/>
      <c r="D33" s="205"/>
      <c r="E33" s="195"/>
      <c r="F33" s="195"/>
      <c r="G33" s="231"/>
      <c r="H33" s="195"/>
      <c r="I33" s="195"/>
      <c r="J33" s="195"/>
      <c r="K33" s="309"/>
      <c r="L33" s="313"/>
      <c r="N33" s="308"/>
      <c r="O33" s="289"/>
      <c r="P33" s="293"/>
      <c r="Q33" s="293"/>
    </row>
    <row r="34" spans="1:17" ht="23.25" customHeight="1">
      <c r="A34" s="246" t="s">
        <v>110</v>
      </c>
      <c r="B34" s="247"/>
      <c r="C34" s="248" t="s">
        <v>111</v>
      </c>
      <c r="D34" s="242"/>
      <c r="E34" s="243"/>
      <c r="F34" s="226"/>
      <c r="G34" s="249"/>
      <c r="H34" s="226"/>
      <c r="I34" s="243"/>
      <c r="J34" s="226"/>
      <c r="K34" s="306"/>
      <c r="L34" s="312"/>
      <c r="N34" s="308"/>
      <c r="O34" s="289"/>
      <c r="P34" s="293"/>
      <c r="Q34" s="293"/>
    </row>
    <row r="35" spans="1:17" ht="23.25" customHeight="1">
      <c r="A35" s="228" t="s">
        <v>112</v>
      </c>
      <c r="B35" s="250"/>
      <c r="C35" s="245"/>
      <c r="D35" s="205"/>
      <c r="E35" s="195"/>
      <c r="F35" s="195"/>
      <c r="G35" s="231"/>
      <c r="H35" s="195"/>
      <c r="I35" s="195"/>
      <c r="J35" s="195"/>
      <c r="K35" s="309"/>
      <c r="L35" s="313"/>
      <c r="N35" s="308"/>
      <c r="O35" s="289"/>
      <c r="P35" s="293"/>
      <c r="Q35" s="293"/>
    </row>
    <row r="36" spans="1:17" ht="23.25" customHeight="1">
      <c r="A36" s="176" t="s">
        <v>113</v>
      </c>
      <c r="B36" s="199">
        <v>45289</v>
      </c>
      <c r="C36" s="251" t="s">
        <v>114</v>
      </c>
      <c r="D36" s="177" t="s">
        <v>41</v>
      </c>
      <c r="E36" s="206">
        <v>12000</v>
      </c>
      <c r="F36" s="230"/>
      <c r="G36" s="209">
        <v>2</v>
      </c>
      <c r="H36" s="197">
        <f t="shared" ref="H36:H38" si="6">SUM(G36*200)</f>
        <v>400</v>
      </c>
      <c r="I36" s="314">
        <v>20</v>
      </c>
      <c r="J36" s="282">
        <v>12400</v>
      </c>
      <c r="K36" s="295" t="s">
        <v>115</v>
      </c>
      <c r="L36" s="291">
        <v>12000</v>
      </c>
      <c r="N36" s="308"/>
      <c r="O36" s="289"/>
      <c r="P36" s="293"/>
      <c r="Q36" s="293"/>
    </row>
    <row r="37" spans="1:17" ht="23.25" customHeight="1">
      <c r="A37" s="176" t="s">
        <v>116</v>
      </c>
      <c r="B37" s="199">
        <v>45279</v>
      </c>
      <c r="C37" s="252" t="s">
        <v>117</v>
      </c>
      <c r="D37" s="205" t="s">
        <v>118</v>
      </c>
      <c r="E37" s="206">
        <v>7000</v>
      </c>
      <c r="F37" s="195"/>
      <c r="G37" s="209">
        <v>2</v>
      </c>
      <c r="H37" s="197">
        <f t="shared" si="6"/>
        <v>400</v>
      </c>
      <c r="I37" s="314">
        <v>20</v>
      </c>
      <c r="J37" s="282">
        <v>7400</v>
      </c>
      <c r="K37" s="288" t="s">
        <v>119</v>
      </c>
      <c r="L37" s="291">
        <v>7000</v>
      </c>
      <c r="N37" s="308"/>
      <c r="O37" s="289"/>
      <c r="P37" s="293"/>
      <c r="Q37" s="293"/>
    </row>
    <row r="38" spans="1:17" ht="23.25" customHeight="1">
      <c r="A38" s="176" t="s">
        <v>120</v>
      </c>
      <c r="B38" s="199">
        <v>45306</v>
      </c>
      <c r="C38" s="253" t="s">
        <v>121</v>
      </c>
      <c r="D38" s="177" t="s">
        <v>16</v>
      </c>
      <c r="E38" s="209">
        <v>10000</v>
      </c>
      <c r="F38" s="254"/>
      <c r="G38" s="209">
        <v>2</v>
      </c>
      <c r="H38" s="197">
        <f t="shared" si="6"/>
        <v>400</v>
      </c>
      <c r="I38" s="315">
        <v>20</v>
      </c>
      <c r="J38" s="254">
        <v>10420</v>
      </c>
      <c r="K38" s="316" t="s">
        <v>122</v>
      </c>
      <c r="L38" s="291">
        <v>10000</v>
      </c>
      <c r="N38" s="308"/>
      <c r="O38" s="289"/>
      <c r="P38" s="293"/>
      <c r="Q38" s="293"/>
    </row>
    <row r="39" spans="1:17" ht="23.25" customHeight="1">
      <c r="A39" s="246"/>
      <c r="B39" s="247"/>
      <c r="C39" s="255"/>
      <c r="D39" s="242"/>
      <c r="E39" s="256">
        <f>SUM(E36:E38)</f>
        <v>29000</v>
      </c>
      <c r="F39" s="257"/>
      <c r="G39" s="256">
        <f>SUM(G36:G38)</f>
        <v>6</v>
      </c>
      <c r="H39" s="257">
        <f>SUM(H36:H38)</f>
        <v>1200</v>
      </c>
      <c r="I39" s="257">
        <f>SUM(I36:I38)</f>
        <v>60</v>
      </c>
      <c r="J39" s="257">
        <f>SUM(J36:J38)</f>
        <v>30220</v>
      </c>
      <c r="K39" s="317"/>
      <c r="L39" s="312">
        <f>SUM(L36:L38)</f>
        <v>29000</v>
      </c>
      <c r="N39" s="308"/>
      <c r="O39" s="289"/>
      <c r="P39" s="293"/>
      <c r="Q39" s="293"/>
    </row>
    <row r="40" spans="1:17" ht="23.25" customHeight="1">
      <c r="B40" s="244"/>
      <c r="C40" s="80"/>
      <c r="D40" s="258"/>
      <c r="E40" s="259">
        <f>SUM(E25,E32,E34,E39)</f>
        <v>243250</v>
      </c>
      <c r="F40" s="260"/>
      <c r="G40" s="259">
        <f>SUM(G25,G32,G34,G39)</f>
        <v>62</v>
      </c>
      <c r="H40" s="259">
        <f>SUM(H25,H32,H34,H39)</f>
        <v>12400</v>
      </c>
      <c r="I40" s="318">
        <f>SUM(I25,I32,I34,I39)</f>
        <v>580</v>
      </c>
      <c r="J40" s="259">
        <f>SUM(J25,J32,J34,J39)</f>
        <v>256050</v>
      </c>
      <c r="K40" s="319"/>
      <c r="L40" s="291"/>
      <c r="N40" s="308"/>
      <c r="O40" s="289"/>
      <c r="P40" s="293"/>
      <c r="Q40" s="293"/>
    </row>
    <row r="41" spans="1:17" ht="23.25" customHeight="1">
      <c r="A41" s="228" t="s">
        <v>123</v>
      </c>
      <c r="B41" s="261"/>
      <c r="C41" s="262"/>
      <c r="D41" s="15"/>
      <c r="E41" s="195"/>
      <c r="F41" s="263" t="s">
        <v>124</v>
      </c>
      <c r="G41" s="264"/>
      <c r="H41" s="195"/>
      <c r="I41" s="195"/>
      <c r="J41" s="230"/>
      <c r="K41" s="309"/>
      <c r="L41" s="284"/>
      <c r="N41" s="308"/>
      <c r="O41" s="289"/>
      <c r="P41" s="293"/>
      <c r="Q41" s="293"/>
    </row>
    <row r="42" spans="1:17" ht="23.25" customHeight="1">
      <c r="A42" s="176" t="s">
        <v>125</v>
      </c>
      <c r="B42" s="199">
        <v>45289</v>
      </c>
      <c r="C42" s="265" t="s">
        <v>126</v>
      </c>
      <c r="D42" s="205" t="s">
        <v>127</v>
      </c>
      <c r="E42" s="202">
        <v>5000</v>
      </c>
      <c r="F42" s="266">
        <v>325</v>
      </c>
      <c r="G42" s="203">
        <v>2</v>
      </c>
      <c r="H42" s="266">
        <f t="shared" ref="H42:H43" si="7">SUM(G42*200)</f>
        <v>400</v>
      </c>
      <c r="I42" s="202">
        <v>20</v>
      </c>
      <c r="J42" s="282">
        <f>SUM(E42,F42,H42,I42)</f>
        <v>5745</v>
      </c>
      <c r="K42" s="319" t="s">
        <v>128</v>
      </c>
      <c r="L42" s="284">
        <v>5000</v>
      </c>
      <c r="N42" s="308"/>
      <c r="O42" s="289"/>
      <c r="P42" s="293"/>
      <c r="Q42" s="293"/>
    </row>
    <row r="43" spans="1:17" ht="23.25" customHeight="1">
      <c r="A43" s="176" t="s">
        <v>129</v>
      </c>
      <c r="B43" s="199">
        <v>45321</v>
      </c>
      <c r="C43" s="265" t="s">
        <v>130</v>
      </c>
      <c r="D43" s="205" t="s">
        <v>131</v>
      </c>
      <c r="E43" s="206">
        <v>5500</v>
      </c>
      <c r="F43" s="195"/>
      <c r="G43" s="203">
        <v>1</v>
      </c>
      <c r="H43" s="266">
        <f t="shared" si="7"/>
        <v>200</v>
      </c>
      <c r="I43" s="206">
        <v>20</v>
      </c>
      <c r="J43" s="282">
        <f>SUM(E43,H43:I43)</f>
        <v>5720</v>
      </c>
      <c r="K43" s="319" t="s">
        <v>132</v>
      </c>
      <c r="L43" s="291">
        <v>5500</v>
      </c>
      <c r="N43" s="308"/>
      <c r="O43" s="289"/>
      <c r="P43" s="293"/>
      <c r="Q43" s="293"/>
    </row>
    <row r="44" spans="1:17" ht="23.25" customHeight="1">
      <c r="A44" s="267" t="s">
        <v>133</v>
      </c>
      <c r="B44" s="268"/>
      <c r="C44" s="269"/>
      <c r="D44" s="242"/>
      <c r="E44" s="270">
        <f>SUM(E42:E43)</f>
        <v>10500</v>
      </c>
      <c r="F44" s="226">
        <f t="shared" ref="F44:I44" si="8">SUM(F42:F43)</f>
        <v>325</v>
      </c>
      <c r="G44" s="243">
        <f t="shared" si="8"/>
        <v>3</v>
      </c>
      <c r="H44" s="226">
        <f t="shared" si="8"/>
        <v>600</v>
      </c>
      <c r="I44" s="320">
        <f t="shared" si="8"/>
        <v>40</v>
      </c>
      <c r="J44" s="321">
        <f>SUM(F44,H44,I44,)</f>
        <v>965</v>
      </c>
      <c r="K44" s="322"/>
      <c r="L44" s="323"/>
      <c r="N44" s="308"/>
      <c r="O44" s="289"/>
      <c r="P44" s="293"/>
      <c r="Q44" s="293"/>
    </row>
    <row r="45" spans="1:17" ht="23.25" customHeight="1">
      <c r="E45" s="271" t="s">
        <v>134</v>
      </c>
      <c r="F45" s="272">
        <f>SUM(F40,F44)</f>
        <v>325</v>
      </c>
      <c r="H45" s="272">
        <f>SUM(H40,H44)</f>
        <v>13000</v>
      </c>
      <c r="I45" s="324">
        <f>SUM(I40,I44)</f>
        <v>620</v>
      </c>
      <c r="J45" s="325" t="s">
        <v>135</v>
      </c>
      <c r="L45" s="326"/>
      <c r="N45" s="308"/>
      <c r="O45" s="289"/>
      <c r="P45" s="293"/>
      <c r="Q45" s="293"/>
    </row>
    <row r="46" spans="1:17" ht="22.5" customHeight="1">
      <c r="A46" s="185" t="s">
        <v>8</v>
      </c>
      <c r="B46" s="186" t="s">
        <v>136</v>
      </c>
      <c r="C46" s="187"/>
      <c r="D46" s="187"/>
      <c r="E46" s="187"/>
      <c r="F46" s="273"/>
      <c r="G46" s="189"/>
      <c r="H46" s="273"/>
      <c r="I46" s="187"/>
      <c r="J46" s="187"/>
      <c r="K46" s="187"/>
      <c r="L46" s="187"/>
      <c r="N46" s="308"/>
      <c r="O46" s="289"/>
      <c r="P46" s="293"/>
      <c r="Q46" s="293"/>
    </row>
    <row r="47" spans="1:17" ht="22.5" customHeight="1">
      <c r="A47" s="190" t="s">
        <v>10</v>
      </c>
      <c r="B47" s="191">
        <v>45346</v>
      </c>
      <c r="C47" s="192" t="s">
        <v>137</v>
      </c>
      <c r="D47" s="193" t="s">
        <v>138</v>
      </c>
      <c r="E47" s="194">
        <v>8000</v>
      </c>
      <c r="F47" s="195">
        <f>SUM(E47*0.5)</f>
        <v>4000</v>
      </c>
      <c r="G47" s="196">
        <v>1</v>
      </c>
      <c r="H47" s="197">
        <f t="shared" ref="H47:H49" si="9">SUM(G47*200)</f>
        <v>200</v>
      </c>
      <c r="I47" s="194">
        <v>20</v>
      </c>
      <c r="J47" s="279">
        <v>8220</v>
      </c>
      <c r="K47" s="280" t="s">
        <v>13</v>
      </c>
      <c r="L47" s="281">
        <v>8000</v>
      </c>
    </row>
    <row r="48" spans="1:17" ht="22.5" customHeight="1">
      <c r="A48" s="198" t="s">
        <v>14</v>
      </c>
      <c r="B48" s="199">
        <v>45351</v>
      </c>
      <c r="C48" s="200" t="s">
        <v>139</v>
      </c>
      <c r="D48" s="201" t="s">
        <v>140</v>
      </c>
      <c r="E48" s="202">
        <v>8000</v>
      </c>
      <c r="F48" s="195">
        <f t="shared" ref="F48:F68" si="10">SUM(E48*0.5)</f>
        <v>4000</v>
      </c>
      <c r="G48" s="203">
        <v>2</v>
      </c>
      <c r="H48" s="197">
        <f t="shared" si="9"/>
        <v>400</v>
      </c>
      <c r="I48" s="206">
        <v>20</v>
      </c>
      <c r="J48" s="282">
        <v>8420</v>
      </c>
      <c r="K48" s="283" t="s">
        <v>17</v>
      </c>
      <c r="L48" s="284">
        <v>8000</v>
      </c>
    </row>
    <row r="49" spans="1:12" ht="22.5" customHeight="1">
      <c r="A49" s="190" t="s">
        <v>18</v>
      </c>
      <c r="B49" s="199">
        <v>45351</v>
      </c>
      <c r="C49" s="204" t="s">
        <v>141</v>
      </c>
      <c r="D49" s="205" t="s">
        <v>142</v>
      </c>
      <c r="E49" s="202">
        <v>8000</v>
      </c>
      <c r="F49" s="195">
        <f t="shared" si="10"/>
        <v>4000</v>
      </c>
      <c r="G49" s="203">
        <v>1</v>
      </c>
      <c r="H49" s="197">
        <f t="shared" si="9"/>
        <v>200</v>
      </c>
      <c r="I49" s="206">
        <v>20</v>
      </c>
      <c r="J49" s="282">
        <f>SUM(E49,H49:I49)</f>
        <v>8220</v>
      </c>
      <c r="K49" s="288" t="s">
        <v>21</v>
      </c>
      <c r="L49" s="284">
        <v>8000</v>
      </c>
    </row>
    <row r="50" spans="1:12" ht="22.5" customHeight="1">
      <c r="A50" s="190" t="s">
        <v>22</v>
      </c>
      <c r="B50" s="199">
        <v>45338</v>
      </c>
      <c r="C50" s="26" t="s">
        <v>143</v>
      </c>
      <c r="D50" s="205" t="s">
        <v>144</v>
      </c>
      <c r="E50" s="206">
        <v>7250</v>
      </c>
      <c r="F50" s="195">
        <f t="shared" si="10"/>
        <v>3625</v>
      </c>
      <c r="G50" s="203">
        <v>1</v>
      </c>
      <c r="H50" s="197">
        <f t="shared" ref="H50:H68" si="11">SUM(G50*200)</f>
        <v>200</v>
      </c>
      <c r="I50" s="206">
        <v>20</v>
      </c>
      <c r="J50" s="282">
        <f>SUM(E50,H50:I50)</f>
        <v>7470</v>
      </c>
      <c r="K50" s="290" t="s">
        <v>25</v>
      </c>
      <c r="L50" s="291">
        <v>5000</v>
      </c>
    </row>
    <row r="51" spans="1:12" ht="22.5" customHeight="1">
      <c r="A51" s="190" t="s">
        <v>26</v>
      </c>
      <c r="B51" s="199">
        <v>45340</v>
      </c>
      <c r="C51" s="207" t="s">
        <v>145</v>
      </c>
      <c r="D51" s="208" t="s">
        <v>146</v>
      </c>
      <c r="E51" s="209">
        <v>6000</v>
      </c>
      <c r="F51" s="195">
        <f t="shared" si="10"/>
        <v>3000</v>
      </c>
      <c r="G51" s="210">
        <v>1</v>
      </c>
      <c r="H51" s="197">
        <f t="shared" si="11"/>
        <v>200</v>
      </c>
      <c r="I51" s="209">
        <v>20</v>
      </c>
      <c r="J51" s="254">
        <v>6220</v>
      </c>
      <c r="K51" s="24" t="s">
        <v>29</v>
      </c>
      <c r="L51" s="291">
        <v>6000</v>
      </c>
    </row>
    <row r="52" spans="1:12" ht="22.5" customHeight="1">
      <c r="A52" s="190" t="s">
        <v>30</v>
      </c>
      <c r="B52" s="199">
        <v>45355</v>
      </c>
      <c r="C52" s="204" t="s">
        <v>147</v>
      </c>
      <c r="D52" s="205" t="s">
        <v>140</v>
      </c>
      <c r="E52" s="209">
        <v>6000</v>
      </c>
      <c r="F52" s="195">
        <f t="shared" si="10"/>
        <v>3000</v>
      </c>
      <c r="G52" s="210">
        <v>1</v>
      </c>
      <c r="H52" s="197">
        <f t="shared" si="11"/>
        <v>200</v>
      </c>
      <c r="I52" s="209">
        <v>20</v>
      </c>
      <c r="J52" s="254">
        <v>6200</v>
      </c>
      <c r="K52" s="294" t="s">
        <v>32</v>
      </c>
      <c r="L52" s="291">
        <v>6000</v>
      </c>
    </row>
    <row r="53" spans="1:12" ht="22.5" customHeight="1">
      <c r="A53" s="190" t="s">
        <v>33</v>
      </c>
      <c r="B53" s="199">
        <v>45349</v>
      </c>
      <c r="C53" s="204" t="s">
        <v>148</v>
      </c>
      <c r="D53" s="205" t="s">
        <v>140</v>
      </c>
      <c r="E53" s="202">
        <v>6000</v>
      </c>
      <c r="F53" s="195">
        <f t="shared" si="10"/>
        <v>3000</v>
      </c>
      <c r="G53" s="210">
        <v>1</v>
      </c>
      <c r="H53" s="197">
        <f t="shared" si="11"/>
        <v>200</v>
      </c>
      <c r="I53" s="202">
        <v>20</v>
      </c>
      <c r="J53" s="197">
        <v>6220</v>
      </c>
      <c r="K53" s="288" t="s">
        <v>17</v>
      </c>
      <c r="L53" s="284">
        <v>6000</v>
      </c>
    </row>
    <row r="54" spans="1:12" ht="22.5" customHeight="1">
      <c r="A54" s="190" t="s">
        <v>35</v>
      </c>
      <c r="B54" s="199">
        <v>45325</v>
      </c>
      <c r="C54" s="211" t="s">
        <v>149</v>
      </c>
      <c r="D54" s="177" t="s">
        <v>150</v>
      </c>
      <c r="E54" s="212">
        <v>6000</v>
      </c>
      <c r="F54" s="195">
        <f t="shared" si="10"/>
        <v>3000</v>
      </c>
      <c r="G54" s="210">
        <v>1</v>
      </c>
      <c r="H54" s="197">
        <f t="shared" si="11"/>
        <v>200</v>
      </c>
      <c r="I54" s="206">
        <v>20</v>
      </c>
      <c r="J54" s="282">
        <v>6220</v>
      </c>
      <c r="K54" s="295" t="s">
        <v>38</v>
      </c>
      <c r="L54" s="284">
        <v>6000</v>
      </c>
    </row>
    <row r="55" spans="1:12" ht="22.5" customHeight="1">
      <c r="A55" s="213" t="s">
        <v>39</v>
      </c>
      <c r="B55" s="199">
        <v>45353</v>
      </c>
      <c r="C55" s="14" t="s">
        <v>151</v>
      </c>
      <c r="D55" s="205" t="s">
        <v>152</v>
      </c>
      <c r="E55" s="202">
        <v>8000</v>
      </c>
      <c r="F55" s="195">
        <f t="shared" si="10"/>
        <v>4000</v>
      </c>
      <c r="G55" s="203">
        <v>1</v>
      </c>
      <c r="H55" s="197">
        <f t="shared" si="11"/>
        <v>200</v>
      </c>
      <c r="I55" s="202">
        <v>20</v>
      </c>
      <c r="J55" s="282">
        <f>SUM(E55,H55:I55)</f>
        <v>8220</v>
      </c>
      <c r="K55" s="288" t="s">
        <v>42</v>
      </c>
      <c r="L55" s="284">
        <v>8000</v>
      </c>
    </row>
    <row r="56" spans="1:12" ht="22.5" customHeight="1">
      <c r="A56" s="213" t="s">
        <v>43</v>
      </c>
      <c r="B56" s="199">
        <v>45351</v>
      </c>
      <c r="C56" s="204" t="s">
        <v>153</v>
      </c>
      <c r="D56" s="14" t="s">
        <v>154</v>
      </c>
      <c r="E56" s="202">
        <v>8000</v>
      </c>
      <c r="F56" s="195">
        <f t="shared" si="10"/>
        <v>4000</v>
      </c>
      <c r="G56" s="203">
        <v>2</v>
      </c>
      <c r="H56" s="197">
        <f t="shared" si="11"/>
        <v>400</v>
      </c>
      <c r="I56" s="206">
        <v>20</v>
      </c>
      <c r="J56" s="282">
        <f>SUM(E56,H56:I56)</f>
        <v>8420</v>
      </c>
      <c r="K56" s="288" t="s">
        <v>46</v>
      </c>
      <c r="L56" s="284">
        <v>8000</v>
      </c>
    </row>
    <row r="57" spans="1:12" ht="22.5" customHeight="1">
      <c r="A57" s="213" t="s">
        <v>47</v>
      </c>
      <c r="B57" s="199">
        <v>45351</v>
      </c>
      <c r="C57" s="204" t="s">
        <v>155</v>
      </c>
      <c r="D57" s="205" t="s">
        <v>156</v>
      </c>
      <c r="E57" s="202">
        <v>8000</v>
      </c>
      <c r="F57" s="195">
        <f t="shared" si="10"/>
        <v>4000</v>
      </c>
      <c r="G57" s="203">
        <v>3</v>
      </c>
      <c r="H57" s="197">
        <f t="shared" si="11"/>
        <v>600</v>
      </c>
      <c r="I57" s="202">
        <v>20</v>
      </c>
      <c r="J57" s="282">
        <v>8600</v>
      </c>
      <c r="K57" s="288" t="s">
        <v>50</v>
      </c>
      <c r="L57" s="291">
        <v>8000</v>
      </c>
    </row>
    <row r="58" spans="1:12" ht="22.5" customHeight="1">
      <c r="A58" s="213" t="s">
        <v>51</v>
      </c>
      <c r="B58" s="199">
        <v>45351</v>
      </c>
      <c r="C58" s="207" t="s">
        <v>157</v>
      </c>
      <c r="D58" s="205" t="s">
        <v>158</v>
      </c>
      <c r="E58" s="212">
        <v>8500</v>
      </c>
      <c r="F58" s="195">
        <f t="shared" si="10"/>
        <v>4250</v>
      </c>
      <c r="G58" s="210">
        <v>4</v>
      </c>
      <c r="H58" s="197">
        <f t="shared" si="11"/>
        <v>800</v>
      </c>
      <c r="I58" s="212">
        <v>20</v>
      </c>
      <c r="J58" s="282">
        <v>9300</v>
      </c>
      <c r="K58" s="295" t="s">
        <v>54</v>
      </c>
      <c r="L58" s="284">
        <v>8500</v>
      </c>
    </row>
    <row r="59" spans="1:12" ht="22.5" customHeight="1">
      <c r="A59" s="213" t="s">
        <v>55</v>
      </c>
      <c r="B59" s="199">
        <v>45351</v>
      </c>
      <c r="C59" s="204" t="s">
        <v>159</v>
      </c>
      <c r="D59" s="205" t="s">
        <v>156</v>
      </c>
      <c r="E59" s="202">
        <v>7500</v>
      </c>
      <c r="F59" s="195">
        <f t="shared" si="10"/>
        <v>3750</v>
      </c>
      <c r="G59" s="203">
        <v>2</v>
      </c>
      <c r="H59" s="197">
        <f t="shared" si="11"/>
        <v>400</v>
      </c>
      <c r="I59" s="206">
        <v>20</v>
      </c>
      <c r="J59" s="282">
        <v>7920</v>
      </c>
      <c r="K59" s="288" t="s">
        <v>57</v>
      </c>
      <c r="L59" s="284">
        <v>7500</v>
      </c>
    </row>
    <row r="60" spans="1:12" ht="22.5" customHeight="1">
      <c r="A60" s="213" t="s">
        <v>58</v>
      </c>
      <c r="B60" s="199">
        <v>45351</v>
      </c>
      <c r="C60" s="204" t="s">
        <v>160</v>
      </c>
      <c r="D60" s="205" t="s">
        <v>140</v>
      </c>
      <c r="E60" s="202">
        <v>6000</v>
      </c>
      <c r="F60" s="195">
        <f t="shared" si="10"/>
        <v>3000</v>
      </c>
      <c r="G60" s="203">
        <v>3</v>
      </c>
      <c r="H60" s="197">
        <f t="shared" si="11"/>
        <v>600</v>
      </c>
      <c r="I60" s="206">
        <v>20</v>
      </c>
      <c r="J60" s="254">
        <v>6620</v>
      </c>
      <c r="K60" s="296" t="s">
        <v>17</v>
      </c>
      <c r="L60" s="284">
        <v>6000</v>
      </c>
    </row>
    <row r="61" spans="1:12" ht="22.5" customHeight="1">
      <c r="A61" s="213" t="s">
        <v>60</v>
      </c>
      <c r="B61" s="199">
        <v>45346</v>
      </c>
      <c r="C61" s="204" t="s">
        <v>161</v>
      </c>
      <c r="D61" s="205" t="s">
        <v>140</v>
      </c>
      <c r="E61" s="202">
        <v>6000</v>
      </c>
      <c r="F61" s="195">
        <f t="shared" si="10"/>
        <v>3000</v>
      </c>
      <c r="G61" s="203">
        <v>1</v>
      </c>
      <c r="H61" s="197">
        <f t="shared" si="11"/>
        <v>200</v>
      </c>
      <c r="I61" s="206">
        <v>20</v>
      </c>
      <c r="J61" s="282">
        <v>6220</v>
      </c>
      <c r="K61" s="288" t="s">
        <v>62</v>
      </c>
      <c r="L61" s="284">
        <v>6000</v>
      </c>
    </row>
    <row r="62" spans="1:12" ht="22.5" customHeight="1">
      <c r="A62" s="214" t="s">
        <v>63</v>
      </c>
      <c r="B62" s="199"/>
      <c r="C62" s="204" t="s">
        <v>162</v>
      </c>
      <c r="D62" s="205"/>
      <c r="E62" s="206"/>
      <c r="F62" s="195"/>
      <c r="G62" s="203"/>
      <c r="H62" s="197"/>
      <c r="I62" s="206"/>
      <c r="J62" s="282"/>
      <c r="K62" s="288"/>
      <c r="L62" s="291"/>
    </row>
    <row r="63" spans="1:12" ht="22.5" customHeight="1">
      <c r="A63" s="214" t="s">
        <v>67</v>
      </c>
      <c r="B63" s="199">
        <v>45351</v>
      </c>
      <c r="C63" s="204" t="s">
        <v>163</v>
      </c>
      <c r="D63" s="205" t="s">
        <v>142</v>
      </c>
      <c r="E63" s="206">
        <v>8500</v>
      </c>
      <c r="F63" s="195">
        <f t="shared" si="10"/>
        <v>4250</v>
      </c>
      <c r="G63" s="203">
        <v>4</v>
      </c>
      <c r="H63" s="197">
        <f t="shared" si="11"/>
        <v>800</v>
      </c>
      <c r="I63" s="206">
        <v>20</v>
      </c>
      <c r="J63" s="282">
        <v>9300</v>
      </c>
      <c r="K63" s="295" t="s">
        <v>70</v>
      </c>
      <c r="L63" s="284">
        <v>8500</v>
      </c>
    </row>
    <row r="64" spans="1:12" ht="22.5" customHeight="1">
      <c r="A64" s="214" t="s">
        <v>71</v>
      </c>
      <c r="B64" s="199">
        <v>45351</v>
      </c>
      <c r="C64" s="204" t="s">
        <v>164</v>
      </c>
      <c r="D64" s="205" t="s">
        <v>165</v>
      </c>
      <c r="E64" s="206">
        <v>8000</v>
      </c>
      <c r="F64" s="195">
        <f t="shared" si="10"/>
        <v>4000</v>
      </c>
      <c r="G64" s="203">
        <v>3</v>
      </c>
      <c r="H64" s="197">
        <f t="shared" si="11"/>
        <v>600</v>
      </c>
      <c r="I64" s="206">
        <v>20</v>
      </c>
      <c r="J64" s="282">
        <v>8600</v>
      </c>
      <c r="K64" s="288" t="s">
        <v>73</v>
      </c>
      <c r="L64" s="291"/>
    </row>
    <row r="65" spans="1:12" ht="22.5" customHeight="1">
      <c r="A65" s="214" t="s">
        <v>74</v>
      </c>
      <c r="B65" s="199">
        <v>45351</v>
      </c>
      <c r="C65" s="204" t="s">
        <v>166</v>
      </c>
      <c r="D65" s="205" t="s">
        <v>140</v>
      </c>
      <c r="E65" s="206">
        <v>8000</v>
      </c>
      <c r="F65" s="195">
        <f t="shared" si="10"/>
        <v>4000</v>
      </c>
      <c r="G65" s="203">
        <v>2</v>
      </c>
      <c r="H65" s="197">
        <f t="shared" si="11"/>
        <v>400</v>
      </c>
      <c r="I65" s="206">
        <v>20</v>
      </c>
      <c r="J65" s="282">
        <f>SUM(E65,H65:I65)</f>
        <v>8420</v>
      </c>
      <c r="K65" s="288" t="s">
        <v>76</v>
      </c>
      <c r="L65" s="291">
        <v>8000</v>
      </c>
    </row>
    <row r="66" spans="1:12" ht="22.5" customHeight="1">
      <c r="A66" s="214" t="s">
        <v>77</v>
      </c>
      <c r="B66" s="199">
        <v>45335</v>
      </c>
      <c r="C66" s="207" t="s">
        <v>167</v>
      </c>
      <c r="D66" s="177" t="s">
        <v>168</v>
      </c>
      <c r="E66" s="207">
        <v>8000</v>
      </c>
      <c r="F66" s="195">
        <f t="shared" ref="F66" si="12">SUM(E66*0.5)</f>
        <v>4000</v>
      </c>
      <c r="G66" s="210">
        <v>4</v>
      </c>
      <c r="H66" s="197">
        <f t="shared" ref="H66" si="13">SUM(G66*200)</f>
        <v>800</v>
      </c>
      <c r="I66" s="207">
        <v>20</v>
      </c>
      <c r="J66" s="301">
        <v>8820</v>
      </c>
      <c r="K66" s="208" t="s">
        <v>80</v>
      </c>
      <c r="L66" s="302">
        <v>8500</v>
      </c>
    </row>
    <row r="67" spans="1:12" ht="22.5" customHeight="1">
      <c r="A67" s="214" t="s">
        <v>81</v>
      </c>
      <c r="B67" s="199">
        <v>45351</v>
      </c>
      <c r="C67" s="207" t="s">
        <v>169</v>
      </c>
      <c r="D67" s="177" t="s">
        <v>165</v>
      </c>
      <c r="E67" s="209">
        <v>6000</v>
      </c>
      <c r="F67" s="195">
        <f t="shared" si="10"/>
        <v>3000</v>
      </c>
      <c r="G67" s="210">
        <v>1</v>
      </c>
      <c r="H67" s="197">
        <f t="shared" si="11"/>
        <v>200</v>
      </c>
      <c r="I67" s="206">
        <v>20</v>
      </c>
      <c r="J67" s="282">
        <v>6220</v>
      </c>
      <c r="K67" s="295" t="s">
        <v>83</v>
      </c>
      <c r="L67" s="291">
        <v>6000</v>
      </c>
    </row>
    <row r="68" spans="1:12" ht="22.5" customHeight="1">
      <c r="A68" s="215" t="s">
        <v>84</v>
      </c>
      <c r="B68" s="216">
        <v>45351</v>
      </c>
      <c r="C68" s="217" t="s">
        <v>170</v>
      </c>
      <c r="D68" s="218" t="s">
        <v>171</v>
      </c>
      <c r="E68" s="219">
        <v>6000</v>
      </c>
      <c r="F68" s="195">
        <f t="shared" si="10"/>
        <v>3000</v>
      </c>
      <c r="G68" s="220">
        <v>2</v>
      </c>
      <c r="H68" s="197">
        <f t="shared" si="11"/>
        <v>400</v>
      </c>
      <c r="I68" s="219">
        <v>20</v>
      </c>
      <c r="J68" s="303">
        <v>6420</v>
      </c>
      <c r="K68" s="304" t="s">
        <v>87</v>
      </c>
      <c r="L68" s="305">
        <v>6000</v>
      </c>
    </row>
    <row r="69" spans="1:12" ht="22.5" customHeight="1">
      <c r="A69" s="221"/>
      <c r="B69" s="222"/>
      <c r="C69" s="223"/>
      <c r="D69" s="224"/>
      <c r="E69" s="225">
        <f>SUM(E47:E68)</f>
        <v>151750</v>
      </c>
      <c r="F69" s="226">
        <f>SUM(F47:F68)</f>
        <v>75875</v>
      </c>
      <c r="G69" s="225">
        <f t="shared" ref="G69" si="14">SUM(G47:G68)</f>
        <v>41</v>
      </c>
      <c r="H69" s="227">
        <f t="shared" ref="H69" si="15">SUM(H47:H68)</f>
        <v>8200</v>
      </c>
      <c r="I69" s="225">
        <f t="shared" ref="I69" si="16">SUM(I47:I68)</f>
        <v>420</v>
      </c>
      <c r="J69" s="227">
        <f t="shared" ref="J69" si="17">SUM(J47:J68)</f>
        <v>160270</v>
      </c>
      <c r="K69" s="306"/>
      <c r="L69" s="307">
        <f>SUM(L47:L68)</f>
        <v>142000</v>
      </c>
    </row>
    <row r="70" spans="1:12" ht="22.5" customHeight="1">
      <c r="A70" s="228" t="s">
        <v>88</v>
      </c>
      <c r="B70" s="229"/>
      <c r="C70" s="230"/>
      <c r="D70" s="205"/>
      <c r="E70" s="195"/>
      <c r="F70" s="195"/>
      <c r="G70" s="231"/>
      <c r="H70" s="195"/>
      <c r="I70" s="195"/>
      <c r="J70" s="230"/>
      <c r="K70" s="309"/>
      <c r="L70" s="291"/>
    </row>
    <row r="71" spans="1:12" ht="22.5" customHeight="1">
      <c r="A71" s="176" t="s">
        <v>89</v>
      </c>
      <c r="B71" s="199">
        <v>45332</v>
      </c>
      <c r="C71" s="204" t="s">
        <v>90</v>
      </c>
      <c r="D71" s="205" t="s">
        <v>172</v>
      </c>
      <c r="E71" s="206">
        <v>10000</v>
      </c>
      <c r="F71" s="195"/>
      <c r="G71" s="232">
        <v>2</v>
      </c>
      <c r="H71" s="197">
        <f t="shared" ref="H71:H75" si="18">SUM(G71*200)</f>
        <v>400</v>
      </c>
      <c r="I71" s="206">
        <v>20</v>
      </c>
      <c r="J71" s="282">
        <v>10420</v>
      </c>
      <c r="K71" s="288" t="s">
        <v>92</v>
      </c>
      <c r="L71" s="291">
        <v>10000</v>
      </c>
    </row>
    <row r="72" spans="1:12" ht="22.5" customHeight="1">
      <c r="A72" s="176" t="s">
        <v>93</v>
      </c>
      <c r="B72" s="199">
        <v>45351</v>
      </c>
      <c r="C72" s="207" t="s">
        <v>94</v>
      </c>
      <c r="D72" s="177" t="s">
        <v>173</v>
      </c>
      <c r="E72" s="212">
        <v>10000</v>
      </c>
      <c r="F72" s="233"/>
      <c r="G72" s="210">
        <v>2</v>
      </c>
      <c r="H72" s="197">
        <f t="shared" si="18"/>
        <v>400</v>
      </c>
      <c r="I72" s="202">
        <v>20</v>
      </c>
      <c r="J72" s="282">
        <v>10420</v>
      </c>
      <c r="K72" s="310" t="s">
        <v>96</v>
      </c>
      <c r="L72" s="284">
        <v>6000</v>
      </c>
    </row>
    <row r="73" spans="1:12" ht="22.5" customHeight="1">
      <c r="A73" s="176" t="s">
        <v>97</v>
      </c>
      <c r="B73" s="199">
        <v>45336</v>
      </c>
      <c r="C73" s="204" t="s">
        <v>98</v>
      </c>
      <c r="D73" s="205" t="s">
        <v>150</v>
      </c>
      <c r="E73" s="234">
        <v>12000</v>
      </c>
      <c r="F73" s="235"/>
      <c r="G73" s="232">
        <v>2</v>
      </c>
      <c r="H73" s="197">
        <f t="shared" si="18"/>
        <v>400</v>
      </c>
      <c r="I73" s="206">
        <v>20</v>
      </c>
      <c r="J73" s="282">
        <v>12400</v>
      </c>
      <c r="K73" s="288" t="s">
        <v>99</v>
      </c>
      <c r="L73" s="291"/>
    </row>
    <row r="74" spans="1:12" ht="22.5" customHeight="1">
      <c r="A74" s="176" t="s">
        <v>100</v>
      </c>
      <c r="B74" s="199">
        <v>45351</v>
      </c>
      <c r="C74" s="236" t="s">
        <v>101</v>
      </c>
      <c r="D74" s="205" t="s">
        <v>174</v>
      </c>
      <c r="E74" s="206">
        <v>10000</v>
      </c>
      <c r="F74" s="195"/>
      <c r="G74" s="232">
        <v>0</v>
      </c>
      <c r="H74" s="197">
        <f t="shared" si="18"/>
        <v>0</v>
      </c>
      <c r="I74" s="206"/>
      <c r="J74" s="282">
        <v>10000</v>
      </c>
      <c r="K74" s="311" t="s">
        <v>103</v>
      </c>
      <c r="L74" s="291">
        <v>10000</v>
      </c>
    </row>
    <row r="75" spans="1:12" ht="22.5" customHeight="1">
      <c r="A75" s="176" t="s">
        <v>104</v>
      </c>
      <c r="B75" s="199">
        <v>45355</v>
      </c>
      <c r="C75" s="237" t="s">
        <v>105</v>
      </c>
      <c r="D75" s="205" t="s">
        <v>175</v>
      </c>
      <c r="E75" s="206">
        <v>12000</v>
      </c>
      <c r="F75" s="195"/>
      <c r="G75" s="238">
        <v>6</v>
      </c>
      <c r="H75" s="197">
        <f t="shared" si="18"/>
        <v>1200</v>
      </c>
      <c r="I75" s="219">
        <v>20</v>
      </c>
      <c r="J75" s="282">
        <v>13200</v>
      </c>
      <c r="K75" s="311" t="s">
        <v>107</v>
      </c>
      <c r="L75" s="291">
        <v>12000</v>
      </c>
    </row>
    <row r="76" spans="1:12" ht="22.5" customHeight="1">
      <c r="A76" s="239"/>
      <c r="B76" s="240"/>
      <c r="C76" s="241" t="s">
        <v>108</v>
      </c>
      <c r="D76" s="242"/>
      <c r="E76" s="243">
        <f>SUM(E71:E75)</f>
        <v>54000</v>
      </c>
      <c r="F76" s="226"/>
      <c r="G76" s="226">
        <f>SUM(G71:G75)</f>
        <v>12</v>
      </c>
      <c r="H76" s="226">
        <f>SUM(H71:H75)</f>
        <v>2400</v>
      </c>
      <c r="I76" s="243">
        <f>SUM(I71:I75)</f>
        <v>80</v>
      </c>
      <c r="J76" s="226">
        <f>SUM(J71:J75)</f>
        <v>56440</v>
      </c>
      <c r="K76" s="306"/>
      <c r="L76" s="312">
        <f>SUM(L71:L75)</f>
        <v>38000</v>
      </c>
    </row>
    <row r="77" spans="1:12" ht="22.5" customHeight="1">
      <c r="A77" s="228" t="s">
        <v>109</v>
      </c>
      <c r="B77" s="244"/>
      <c r="C77" s="245"/>
      <c r="D77" s="205"/>
      <c r="E77" s="195"/>
      <c r="F77" s="195"/>
      <c r="G77" s="231"/>
      <c r="H77" s="195"/>
      <c r="I77" s="195"/>
      <c r="J77" s="195"/>
      <c r="K77" s="309"/>
      <c r="L77" s="313"/>
    </row>
    <row r="78" spans="1:12" ht="22.5" customHeight="1">
      <c r="A78" s="246" t="s">
        <v>110</v>
      </c>
      <c r="B78" s="247"/>
      <c r="C78" s="248" t="s">
        <v>111</v>
      </c>
      <c r="D78" s="242"/>
      <c r="E78" s="243"/>
      <c r="F78" s="226"/>
      <c r="G78" s="249"/>
      <c r="H78" s="226"/>
      <c r="I78" s="243"/>
      <c r="J78" s="226"/>
      <c r="K78" s="306"/>
      <c r="L78" s="312"/>
    </row>
    <row r="79" spans="1:12" ht="22.5" customHeight="1">
      <c r="A79" s="228" t="s">
        <v>112</v>
      </c>
      <c r="B79" s="250"/>
      <c r="C79" s="245"/>
      <c r="D79" s="205"/>
      <c r="E79" s="195"/>
      <c r="F79" s="195"/>
      <c r="G79" s="231"/>
      <c r="H79" s="195"/>
      <c r="I79" s="195"/>
      <c r="J79" s="195"/>
      <c r="K79" s="309"/>
      <c r="L79" s="313"/>
    </row>
    <row r="80" spans="1:12" ht="22.5" customHeight="1">
      <c r="A80" s="176" t="s">
        <v>113</v>
      </c>
      <c r="B80" s="199">
        <v>45289</v>
      </c>
      <c r="C80" s="251" t="s">
        <v>114</v>
      </c>
      <c r="D80" s="177" t="s">
        <v>176</v>
      </c>
      <c r="E80" s="206">
        <v>12000</v>
      </c>
      <c r="F80" s="230"/>
      <c r="G80" s="209">
        <v>2</v>
      </c>
      <c r="H80" s="197">
        <f t="shared" ref="H80:H82" si="19">SUM(G80*200)</f>
        <v>400</v>
      </c>
      <c r="I80" s="314">
        <v>20</v>
      </c>
      <c r="J80" s="282">
        <v>12400</v>
      </c>
      <c r="K80" s="295" t="s">
        <v>115</v>
      </c>
      <c r="L80" s="291">
        <v>12000</v>
      </c>
    </row>
    <row r="81" spans="1:12" ht="22.5" customHeight="1">
      <c r="A81" s="176" t="s">
        <v>116</v>
      </c>
      <c r="B81" s="199">
        <v>45324</v>
      </c>
      <c r="C81" s="252" t="s">
        <v>117</v>
      </c>
      <c r="D81" s="205" t="s">
        <v>177</v>
      </c>
      <c r="E81" s="206">
        <v>7000</v>
      </c>
      <c r="F81" s="195"/>
      <c r="G81" s="209">
        <v>1</v>
      </c>
      <c r="H81" s="197">
        <f t="shared" si="19"/>
        <v>200</v>
      </c>
      <c r="I81" s="314">
        <v>20</v>
      </c>
      <c r="J81" s="282">
        <v>7200</v>
      </c>
      <c r="K81" s="288" t="s">
        <v>119</v>
      </c>
      <c r="L81" s="291">
        <v>7000</v>
      </c>
    </row>
    <row r="82" spans="1:12" ht="22.5" customHeight="1">
      <c r="A82" s="176" t="s">
        <v>120</v>
      </c>
      <c r="B82" s="199">
        <v>45351</v>
      </c>
      <c r="C82" s="253" t="s">
        <v>121</v>
      </c>
      <c r="D82" s="177" t="s">
        <v>140</v>
      </c>
      <c r="E82" s="209">
        <v>10000</v>
      </c>
      <c r="F82" s="254"/>
      <c r="G82" s="209">
        <v>2</v>
      </c>
      <c r="H82" s="197">
        <f t="shared" si="19"/>
        <v>400</v>
      </c>
      <c r="I82" s="315">
        <v>20</v>
      </c>
      <c r="J82" s="254">
        <v>10420</v>
      </c>
      <c r="K82" s="316" t="s">
        <v>122</v>
      </c>
      <c r="L82" s="291">
        <v>10000</v>
      </c>
    </row>
    <row r="83" spans="1:12" ht="22.5" customHeight="1">
      <c r="A83" s="246"/>
      <c r="B83" s="247"/>
      <c r="C83" s="255"/>
      <c r="D83" s="242"/>
      <c r="E83" s="256">
        <f>SUM(E80:E82)</f>
        <v>29000</v>
      </c>
      <c r="F83" s="257"/>
      <c r="G83" s="256">
        <f>SUM(G80:G82)</f>
        <v>5</v>
      </c>
      <c r="H83" s="257">
        <f>SUM(H80:H82)</f>
        <v>1000</v>
      </c>
      <c r="I83" s="257">
        <f>SUM(I80:I82)</f>
        <v>60</v>
      </c>
      <c r="J83" s="257">
        <f>SUM(J80:J82)</f>
        <v>30020</v>
      </c>
      <c r="K83" s="317"/>
      <c r="L83" s="312">
        <f>SUM(L80:L82)</f>
        <v>29000</v>
      </c>
    </row>
    <row r="84" spans="1:12" ht="22.5" customHeight="1">
      <c r="B84" s="244"/>
      <c r="C84" s="80"/>
      <c r="D84" s="258"/>
      <c r="E84" s="259">
        <f>SUM(E69,E76,E78,E83)</f>
        <v>234750</v>
      </c>
      <c r="F84" s="260"/>
      <c r="G84" s="259">
        <f>SUM(G69,G76,G78,G83)</f>
        <v>58</v>
      </c>
      <c r="H84" s="259">
        <f>SUM(H69,H76,H78,H83)</f>
        <v>11600</v>
      </c>
      <c r="I84" s="318">
        <f>SUM(I69,I76,I78,I83)</f>
        <v>560</v>
      </c>
      <c r="J84" s="259">
        <f>SUM(J69,J76,J78,J83)</f>
        <v>246730</v>
      </c>
      <c r="K84" s="319"/>
      <c r="L84" s="291"/>
    </row>
    <row r="85" spans="1:12" ht="22.5" customHeight="1">
      <c r="A85" s="228" t="s">
        <v>123</v>
      </c>
      <c r="B85" s="261"/>
      <c r="C85" s="262"/>
      <c r="D85" s="15"/>
      <c r="E85" s="195"/>
      <c r="F85" s="263" t="s">
        <v>124</v>
      </c>
      <c r="G85" s="264"/>
      <c r="H85" s="195"/>
      <c r="I85" s="195"/>
      <c r="J85" s="230"/>
      <c r="K85" s="309"/>
      <c r="L85" s="284"/>
    </row>
    <row r="86" spans="1:12" ht="22.5" customHeight="1">
      <c r="A86" s="176" t="s">
        <v>125</v>
      </c>
      <c r="B86" s="199">
        <v>45317</v>
      </c>
      <c r="C86" s="265" t="s">
        <v>126</v>
      </c>
      <c r="D86" s="205" t="s">
        <v>178</v>
      </c>
      <c r="E86" s="202">
        <v>5000</v>
      </c>
      <c r="F86" s="266">
        <v>325</v>
      </c>
      <c r="G86" s="203">
        <v>2</v>
      </c>
      <c r="H86" s="266">
        <f t="shared" ref="H86:H87" si="20">SUM(G86*200)</f>
        <v>400</v>
      </c>
      <c r="I86" s="202">
        <v>20</v>
      </c>
      <c r="J86" s="282">
        <f>SUM(E86,F86,H86,I86)</f>
        <v>5745</v>
      </c>
      <c r="K86" s="319" t="s">
        <v>128</v>
      </c>
      <c r="L86" s="284">
        <v>5000</v>
      </c>
    </row>
    <row r="87" spans="1:12" ht="22.5" customHeight="1">
      <c r="A87" s="176" t="s">
        <v>129</v>
      </c>
      <c r="B87" s="199">
        <v>45355</v>
      </c>
      <c r="C87" s="265" t="s">
        <v>130</v>
      </c>
      <c r="D87" s="205" t="s">
        <v>179</v>
      </c>
      <c r="E87" s="206">
        <v>5500</v>
      </c>
      <c r="F87" s="195"/>
      <c r="G87" s="203">
        <v>1</v>
      </c>
      <c r="H87" s="266">
        <f t="shared" si="20"/>
        <v>200</v>
      </c>
      <c r="I87" s="206">
        <v>20</v>
      </c>
      <c r="J87" s="282">
        <f>SUM(E87,H87:I87)</f>
        <v>5720</v>
      </c>
      <c r="K87" s="319" t="s">
        <v>132</v>
      </c>
      <c r="L87" s="291">
        <v>5500</v>
      </c>
    </row>
    <row r="88" spans="1:12" ht="22.5" customHeight="1">
      <c r="A88" s="267" t="s">
        <v>133</v>
      </c>
      <c r="B88" s="268"/>
      <c r="C88" s="269"/>
      <c r="D88" s="242"/>
      <c r="E88" s="270">
        <f>SUM(E86:E87)</f>
        <v>10500</v>
      </c>
      <c r="F88" s="226">
        <f t="shared" ref="F88:I88" si="21">SUM(F86:F87)</f>
        <v>325</v>
      </c>
      <c r="G88" s="243">
        <f t="shared" si="21"/>
        <v>3</v>
      </c>
      <c r="H88" s="226">
        <f t="shared" si="21"/>
        <v>600</v>
      </c>
      <c r="I88" s="320">
        <f t="shared" si="21"/>
        <v>40</v>
      </c>
      <c r="J88" s="321">
        <f>SUM(F88,H88,I88,)</f>
        <v>965</v>
      </c>
      <c r="K88" s="322"/>
      <c r="L88" s="323"/>
    </row>
    <row r="89" spans="1:12" ht="22.5" customHeight="1">
      <c r="E89" s="271" t="s">
        <v>134</v>
      </c>
      <c r="F89" s="272">
        <f>SUM(F84,F88)</f>
        <v>325</v>
      </c>
      <c r="H89" s="272">
        <f>SUM(H84,H88)</f>
        <v>12200</v>
      </c>
      <c r="I89" s="324">
        <f>SUM(I84,I88)</f>
        <v>600</v>
      </c>
      <c r="J89" s="325" t="s">
        <v>135</v>
      </c>
      <c r="L89" s="326"/>
    </row>
    <row r="90" spans="1:12" ht="22.5" customHeight="1"/>
    <row r="91" spans="1:12" ht="22.5" customHeight="1">
      <c r="A91" s="185" t="s">
        <v>8</v>
      </c>
      <c r="B91" s="186" t="s">
        <v>180</v>
      </c>
      <c r="C91" s="187"/>
      <c r="D91" s="187"/>
      <c r="E91" s="187"/>
      <c r="F91" s="273"/>
      <c r="G91" s="189"/>
      <c r="H91" s="273"/>
      <c r="I91" s="187"/>
      <c r="J91" s="187"/>
      <c r="K91" s="187"/>
      <c r="L91" s="187"/>
    </row>
    <row r="92" spans="1:12" ht="22.5" customHeight="1">
      <c r="A92" s="190" t="s">
        <v>10</v>
      </c>
      <c r="B92" s="191">
        <v>45377</v>
      </c>
      <c r="C92" s="192" t="s">
        <v>181</v>
      </c>
      <c r="D92" s="193" t="s">
        <v>182</v>
      </c>
      <c r="E92" s="194">
        <v>8000</v>
      </c>
      <c r="F92" s="195">
        <f>SUM(E92*0.5)</f>
        <v>4000</v>
      </c>
      <c r="G92" s="196">
        <v>1</v>
      </c>
      <c r="H92" s="197">
        <f t="shared" ref="H92:H94" si="22">SUM(G92*200)</f>
        <v>200</v>
      </c>
      <c r="I92" s="194">
        <v>20</v>
      </c>
      <c r="J92" s="279">
        <v>8220</v>
      </c>
      <c r="K92" s="280" t="s">
        <v>13</v>
      </c>
      <c r="L92" s="281">
        <v>8000</v>
      </c>
    </row>
    <row r="93" spans="1:12" ht="22.5" customHeight="1">
      <c r="A93" s="198" t="s">
        <v>14</v>
      </c>
      <c r="B93" s="199">
        <v>45368</v>
      </c>
      <c r="C93" s="200" t="s">
        <v>183</v>
      </c>
      <c r="D93" s="201" t="s">
        <v>184</v>
      </c>
      <c r="E93" s="202">
        <v>8000</v>
      </c>
      <c r="F93" s="195">
        <f t="shared" ref="F93:F113" si="23">SUM(E93*0.5)</f>
        <v>4000</v>
      </c>
      <c r="G93" s="203">
        <v>2</v>
      </c>
      <c r="H93" s="197">
        <f t="shared" si="22"/>
        <v>400</v>
      </c>
      <c r="I93" s="206">
        <v>20</v>
      </c>
      <c r="J93" s="282">
        <v>8420</v>
      </c>
      <c r="K93" s="283" t="s">
        <v>17</v>
      </c>
      <c r="L93" s="284">
        <v>8000</v>
      </c>
    </row>
    <row r="94" spans="1:12" ht="22.5" customHeight="1">
      <c r="A94" s="190" t="s">
        <v>18</v>
      </c>
      <c r="B94" s="199">
        <v>45383</v>
      </c>
      <c r="C94" s="204" t="s">
        <v>185</v>
      </c>
      <c r="D94" s="205" t="s">
        <v>186</v>
      </c>
      <c r="E94" s="202">
        <v>8000</v>
      </c>
      <c r="F94" s="195">
        <f t="shared" si="23"/>
        <v>4000</v>
      </c>
      <c r="G94" s="203">
        <v>1</v>
      </c>
      <c r="H94" s="197">
        <f t="shared" si="22"/>
        <v>200</v>
      </c>
      <c r="I94" s="206">
        <v>20</v>
      </c>
      <c r="J94" s="282">
        <f>SUM(E94,H94:I94)</f>
        <v>8220</v>
      </c>
      <c r="K94" s="288" t="s">
        <v>21</v>
      </c>
      <c r="L94" s="284">
        <v>8000</v>
      </c>
    </row>
    <row r="95" spans="1:12" ht="22.5" customHeight="1">
      <c r="A95" s="190" t="s">
        <v>22</v>
      </c>
      <c r="B95" s="199">
        <v>45364</v>
      </c>
      <c r="C95" s="26" t="s">
        <v>187</v>
      </c>
      <c r="D95" s="205" t="s">
        <v>188</v>
      </c>
      <c r="E95" s="206">
        <v>7250</v>
      </c>
      <c r="F95" s="195">
        <f t="shared" si="23"/>
        <v>3625</v>
      </c>
      <c r="G95" s="203">
        <v>1</v>
      </c>
      <c r="H95" s="197">
        <f t="shared" ref="H95:H113" si="24">SUM(G95*200)</f>
        <v>200</v>
      </c>
      <c r="I95" s="206">
        <v>20</v>
      </c>
      <c r="J95" s="282">
        <f>SUM(E95,H95:I95)</f>
        <v>7470</v>
      </c>
      <c r="K95" s="290" t="s">
        <v>25</v>
      </c>
      <c r="L95" s="291">
        <v>5000</v>
      </c>
    </row>
    <row r="96" spans="1:12" ht="22.5" customHeight="1">
      <c r="A96" s="190" t="s">
        <v>26</v>
      </c>
      <c r="B96" s="199">
        <v>45373</v>
      </c>
      <c r="C96" s="207" t="s">
        <v>189</v>
      </c>
      <c r="D96" s="208" t="s">
        <v>190</v>
      </c>
      <c r="E96" s="209">
        <v>6000</v>
      </c>
      <c r="F96" s="195">
        <f t="shared" si="23"/>
        <v>3000</v>
      </c>
      <c r="G96" s="210">
        <v>1</v>
      </c>
      <c r="H96" s="197">
        <f t="shared" si="24"/>
        <v>200</v>
      </c>
      <c r="I96" s="209">
        <v>20</v>
      </c>
      <c r="J96" s="254">
        <v>6220</v>
      </c>
      <c r="K96" s="24" t="s">
        <v>29</v>
      </c>
      <c r="L96" s="291">
        <v>6000</v>
      </c>
    </row>
    <row r="97" spans="1:12" ht="22.5" customHeight="1">
      <c r="A97" s="190" t="s">
        <v>30</v>
      </c>
      <c r="B97" s="199">
        <v>45385</v>
      </c>
      <c r="C97" s="204" t="s">
        <v>191</v>
      </c>
      <c r="D97" s="205" t="s">
        <v>184</v>
      </c>
      <c r="E97" s="209">
        <v>6000</v>
      </c>
      <c r="F97" s="195">
        <f t="shared" si="23"/>
        <v>3000</v>
      </c>
      <c r="G97" s="210">
        <v>1</v>
      </c>
      <c r="H97" s="197">
        <f t="shared" si="24"/>
        <v>200</v>
      </c>
      <c r="I97" s="209">
        <v>20</v>
      </c>
      <c r="J97" s="254">
        <v>6200</v>
      </c>
      <c r="K97" s="294" t="s">
        <v>32</v>
      </c>
      <c r="L97" s="291">
        <v>6000</v>
      </c>
    </row>
    <row r="98" spans="1:12" ht="22.5" customHeight="1">
      <c r="A98" s="190" t="s">
        <v>33</v>
      </c>
      <c r="B98" s="199">
        <v>45376</v>
      </c>
      <c r="C98" s="204" t="s">
        <v>192</v>
      </c>
      <c r="D98" s="205" t="s">
        <v>184</v>
      </c>
      <c r="E98" s="202">
        <v>6000</v>
      </c>
      <c r="F98" s="195">
        <f t="shared" si="23"/>
        <v>3000</v>
      </c>
      <c r="G98" s="210">
        <v>1</v>
      </c>
      <c r="H98" s="197">
        <f t="shared" si="24"/>
        <v>200</v>
      </c>
      <c r="I98" s="202">
        <v>20</v>
      </c>
      <c r="J98" s="197">
        <v>6220</v>
      </c>
      <c r="K98" s="288" t="s">
        <v>17</v>
      </c>
      <c r="L98" s="284">
        <v>6000</v>
      </c>
    </row>
    <row r="99" spans="1:12" ht="22.5" customHeight="1">
      <c r="A99" s="190" t="s">
        <v>35</v>
      </c>
      <c r="B99" s="199">
        <v>45355</v>
      </c>
      <c r="C99" s="211" t="s">
        <v>193</v>
      </c>
      <c r="D99" s="177" t="s">
        <v>194</v>
      </c>
      <c r="E99" s="212">
        <v>6000</v>
      </c>
      <c r="F99" s="195">
        <f t="shared" si="23"/>
        <v>3000</v>
      </c>
      <c r="G99" s="210">
        <v>1</v>
      </c>
      <c r="H99" s="197">
        <f t="shared" si="24"/>
        <v>200</v>
      </c>
      <c r="I99" s="206">
        <v>20</v>
      </c>
      <c r="J99" s="282">
        <v>6220</v>
      </c>
      <c r="K99" s="295" t="s">
        <v>38</v>
      </c>
      <c r="L99" s="284">
        <v>6000</v>
      </c>
    </row>
    <row r="100" spans="1:12" ht="22.5" customHeight="1">
      <c r="A100" s="213" t="s">
        <v>39</v>
      </c>
      <c r="B100" s="199">
        <v>45387</v>
      </c>
      <c r="C100" s="14" t="s">
        <v>195</v>
      </c>
      <c r="D100" s="205" t="s">
        <v>196</v>
      </c>
      <c r="E100" s="202">
        <v>8000</v>
      </c>
      <c r="F100" s="195">
        <f t="shared" si="23"/>
        <v>4000</v>
      </c>
      <c r="G100" s="203">
        <v>1</v>
      </c>
      <c r="H100" s="197">
        <f t="shared" si="24"/>
        <v>200</v>
      </c>
      <c r="I100" s="202">
        <v>20</v>
      </c>
      <c r="J100" s="282">
        <f>SUM(E100,H100:I100)</f>
        <v>8220</v>
      </c>
      <c r="K100" s="288" t="s">
        <v>42</v>
      </c>
      <c r="L100" s="284">
        <v>8000</v>
      </c>
    </row>
    <row r="101" spans="1:12" ht="22.5" customHeight="1">
      <c r="A101" s="213" t="s">
        <v>43</v>
      </c>
      <c r="B101" s="199">
        <v>45384</v>
      </c>
      <c r="C101" s="204" t="s">
        <v>197</v>
      </c>
      <c r="D101" s="14" t="s">
        <v>198</v>
      </c>
      <c r="E101" s="202">
        <v>8000</v>
      </c>
      <c r="F101" s="195">
        <f t="shared" si="23"/>
        <v>4000</v>
      </c>
      <c r="G101" s="203">
        <v>2</v>
      </c>
      <c r="H101" s="197">
        <f t="shared" si="24"/>
        <v>400</v>
      </c>
      <c r="I101" s="206">
        <v>20</v>
      </c>
      <c r="J101" s="282">
        <f>SUM(E101,H101:I101)</f>
        <v>8420</v>
      </c>
      <c r="K101" s="288" t="s">
        <v>46</v>
      </c>
      <c r="L101" s="284">
        <v>8000</v>
      </c>
    </row>
    <row r="102" spans="1:12" ht="22.5" customHeight="1">
      <c r="A102" s="213" t="s">
        <v>47</v>
      </c>
      <c r="B102" s="199">
        <v>45377</v>
      </c>
      <c r="C102" s="204" t="s">
        <v>199</v>
      </c>
      <c r="D102" s="205" t="s">
        <v>200</v>
      </c>
      <c r="E102" s="202">
        <v>8000</v>
      </c>
      <c r="F102" s="195">
        <f t="shared" si="23"/>
        <v>4000</v>
      </c>
      <c r="G102" s="203">
        <v>2</v>
      </c>
      <c r="H102" s="197">
        <f t="shared" si="24"/>
        <v>400</v>
      </c>
      <c r="I102" s="202">
        <v>20</v>
      </c>
      <c r="J102" s="282">
        <v>8420</v>
      </c>
      <c r="K102" s="288" t="s">
        <v>50</v>
      </c>
      <c r="L102" s="291">
        <v>8000</v>
      </c>
    </row>
    <row r="103" spans="1:12" ht="22.5" customHeight="1">
      <c r="A103" s="213" t="s">
        <v>51</v>
      </c>
      <c r="B103" s="199">
        <v>45378</v>
      </c>
      <c r="C103" s="207" t="s">
        <v>201</v>
      </c>
      <c r="D103" s="205" t="s">
        <v>202</v>
      </c>
      <c r="E103" s="212">
        <v>8500</v>
      </c>
      <c r="F103" s="195">
        <f t="shared" si="23"/>
        <v>4250</v>
      </c>
      <c r="G103" s="210">
        <v>4</v>
      </c>
      <c r="H103" s="197">
        <f t="shared" si="24"/>
        <v>800</v>
      </c>
      <c r="I103" s="212">
        <v>20</v>
      </c>
      <c r="J103" s="282">
        <v>9300</v>
      </c>
      <c r="K103" s="295" t="s">
        <v>54</v>
      </c>
      <c r="L103" s="284">
        <v>8500</v>
      </c>
    </row>
    <row r="104" spans="1:12" ht="22.5" customHeight="1">
      <c r="A104" s="213" t="s">
        <v>55</v>
      </c>
      <c r="B104" s="199">
        <v>45385</v>
      </c>
      <c r="C104" s="204" t="s">
        <v>203</v>
      </c>
      <c r="D104" s="205" t="s">
        <v>200</v>
      </c>
      <c r="E104" s="202">
        <v>7500</v>
      </c>
      <c r="F104" s="195">
        <f t="shared" si="23"/>
        <v>3750</v>
      </c>
      <c r="G104" s="203">
        <v>2</v>
      </c>
      <c r="H104" s="197">
        <f t="shared" si="24"/>
        <v>400</v>
      </c>
      <c r="I104" s="206">
        <v>20</v>
      </c>
      <c r="J104" s="282">
        <v>7920</v>
      </c>
      <c r="K104" s="288" t="s">
        <v>57</v>
      </c>
      <c r="L104" s="284">
        <v>7500</v>
      </c>
    </row>
    <row r="105" spans="1:12" ht="22.5" customHeight="1">
      <c r="A105" s="213" t="s">
        <v>58</v>
      </c>
      <c r="B105" s="199">
        <v>45371</v>
      </c>
      <c r="C105" s="204" t="s">
        <v>204</v>
      </c>
      <c r="D105" s="205" t="s">
        <v>184</v>
      </c>
      <c r="E105" s="202">
        <v>6000</v>
      </c>
      <c r="F105" s="195">
        <f t="shared" si="23"/>
        <v>3000</v>
      </c>
      <c r="G105" s="203">
        <v>3</v>
      </c>
      <c r="H105" s="197">
        <f t="shared" si="24"/>
        <v>600</v>
      </c>
      <c r="I105" s="206">
        <v>20</v>
      </c>
      <c r="J105" s="254">
        <v>6620</v>
      </c>
      <c r="K105" s="296" t="s">
        <v>17</v>
      </c>
      <c r="L105" s="284">
        <v>6000</v>
      </c>
    </row>
    <row r="106" spans="1:12" ht="22.5" customHeight="1">
      <c r="A106" s="213" t="s">
        <v>60</v>
      </c>
      <c r="B106" s="199">
        <v>45375</v>
      </c>
      <c r="C106" s="204" t="s">
        <v>205</v>
      </c>
      <c r="D106" s="205" t="s">
        <v>184</v>
      </c>
      <c r="E106" s="202">
        <v>6000</v>
      </c>
      <c r="F106" s="195">
        <f t="shared" si="23"/>
        <v>3000</v>
      </c>
      <c r="G106" s="203">
        <v>1</v>
      </c>
      <c r="H106" s="197">
        <f t="shared" si="24"/>
        <v>200</v>
      </c>
      <c r="I106" s="206">
        <v>20</v>
      </c>
      <c r="J106" s="282">
        <v>6220</v>
      </c>
      <c r="K106" s="288" t="s">
        <v>62</v>
      </c>
      <c r="L106" s="284">
        <v>6000</v>
      </c>
    </row>
    <row r="107" spans="1:12" ht="22.5" customHeight="1">
      <c r="A107" s="214" t="s">
        <v>63</v>
      </c>
      <c r="B107" s="199"/>
      <c r="C107" s="204" t="s">
        <v>162</v>
      </c>
      <c r="D107" s="205"/>
      <c r="E107" s="206"/>
      <c r="F107" s="195"/>
      <c r="G107" s="203"/>
      <c r="H107" s="197"/>
      <c r="I107" s="206"/>
      <c r="J107" s="282"/>
      <c r="K107" s="288"/>
      <c r="L107" s="291"/>
    </row>
    <row r="108" spans="1:12" ht="22.5" customHeight="1">
      <c r="A108" s="214" t="s">
        <v>67</v>
      </c>
      <c r="B108" s="199">
        <v>45388</v>
      </c>
      <c r="C108" s="204" t="s">
        <v>206</v>
      </c>
      <c r="D108" s="205" t="s">
        <v>186</v>
      </c>
      <c r="E108" s="206">
        <v>8500</v>
      </c>
      <c r="F108" s="195">
        <f t="shared" si="23"/>
        <v>4250</v>
      </c>
      <c r="G108" s="203">
        <v>4</v>
      </c>
      <c r="H108" s="197">
        <f t="shared" si="24"/>
        <v>800</v>
      </c>
      <c r="I108" s="206">
        <v>20</v>
      </c>
      <c r="J108" s="282">
        <v>9300</v>
      </c>
      <c r="K108" s="295" t="s">
        <v>70</v>
      </c>
      <c r="L108" s="284">
        <v>8500</v>
      </c>
    </row>
    <row r="109" spans="1:12" ht="22.5" customHeight="1">
      <c r="A109" s="214" t="s">
        <v>71</v>
      </c>
      <c r="B109" s="199">
        <v>45375</v>
      </c>
      <c r="C109" s="204" t="s">
        <v>207</v>
      </c>
      <c r="D109" s="205" t="s">
        <v>208</v>
      </c>
      <c r="E109" s="206">
        <v>8000</v>
      </c>
      <c r="F109" s="195">
        <f t="shared" si="23"/>
        <v>4000</v>
      </c>
      <c r="G109" s="203">
        <v>3</v>
      </c>
      <c r="H109" s="197">
        <f t="shared" si="24"/>
        <v>600</v>
      </c>
      <c r="I109" s="206">
        <v>20</v>
      </c>
      <c r="J109" s="282">
        <v>8600</v>
      </c>
      <c r="K109" s="288" t="s">
        <v>73</v>
      </c>
      <c r="L109" s="291"/>
    </row>
    <row r="110" spans="1:12" ht="22.5" customHeight="1">
      <c r="A110" s="214" t="s">
        <v>74</v>
      </c>
      <c r="B110" s="199">
        <v>45379</v>
      </c>
      <c r="C110" s="204" t="s">
        <v>209</v>
      </c>
      <c r="D110" s="205" t="s">
        <v>184</v>
      </c>
      <c r="E110" s="206">
        <v>8000</v>
      </c>
      <c r="F110" s="195">
        <f t="shared" si="23"/>
        <v>4000</v>
      </c>
      <c r="G110" s="203">
        <v>2</v>
      </c>
      <c r="H110" s="197">
        <f t="shared" si="24"/>
        <v>400</v>
      </c>
      <c r="I110" s="206">
        <v>20</v>
      </c>
      <c r="J110" s="282">
        <f>SUM(E110,H110:I110)</f>
        <v>8420</v>
      </c>
      <c r="K110" s="288" t="s">
        <v>76</v>
      </c>
      <c r="L110" s="291">
        <v>8000</v>
      </c>
    </row>
    <row r="111" spans="1:12" ht="22.5" customHeight="1">
      <c r="A111" s="214" t="s">
        <v>77</v>
      </c>
      <c r="B111" s="199">
        <v>45388</v>
      </c>
      <c r="C111" s="207" t="s">
        <v>210</v>
      </c>
      <c r="D111" s="177" t="s">
        <v>168</v>
      </c>
      <c r="E111" s="207">
        <v>8000</v>
      </c>
      <c r="F111" s="195">
        <f t="shared" ref="F111" si="25">SUM(E111*0.5)</f>
        <v>4000</v>
      </c>
      <c r="G111" s="210">
        <v>4</v>
      </c>
      <c r="H111" s="197">
        <f t="shared" ref="H111" si="26">SUM(G111*200)</f>
        <v>800</v>
      </c>
      <c r="I111" s="207">
        <v>20</v>
      </c>
      <c r="J111" s="301">
        <v>8820</v>
      </c>
      <c r="K111" s="208" t="s">
        <v>80</v>
      </c>
      <c r="L111" s="302">
        <v>8500</v>
      </c>
    </row>
    <row r="112" spans="1:12" ht="22.5" customHeight="1">
      <c r="A112" s="214" t="s">
        <v>81</v>
      </c>
      <c r="B112" s="199">
        <v>45377</v>
      </c>
      <c r="C112" s="207" t="s">
        <v>211</v>
      </c>
      <c r="D112" s="177" t="s">
        <v>208</v>
      </c>
      <c r="E112" s="209">
        <v>6000</v>
      </c>
      <c r="F112" s="195">
        <f t="shared" si="23"/>
        <v>3000</v>
      </c>
      <c r="G112" s="210">
        <v>1</v>
      </c>
      <c r="H112" s="197">
        <f t="shared" si="24"/>
        <v>200</v>
      </c>
      <c r="I112" s="206">
        <v>20</v>
      </c>
      <c r="J112" s="282">
        <v>6220</v>
      </c>
      <c r="K112" s="295" t="s">
        <v>83</v>
      </c>
      <c r="L112" s="291">
        <v>6000</v>
      </c>
    </row>
    <row r="113" spans="1:12" ht="22.5" customHeight="1">
      <c r="A113" s="215" t="s">
        <v>84</v>
      </c>
      <c r="B113" s="216">
        <v>45375</v>
      </c>
      <c r="C113" s="217" t="s">
        <v>212</v>
      </c>
      <c r="D113" s="218" t="s">
        <v>213</v>
      </c>
      <c r="E113" s="219">
        <v>6000</v>
      </c>
      <c r="F113" s="195">
        <f t="shared" si="23"/>
        <v>3000</v>
      </c>
      <c r="G113" s="220">
        <v>1</v>
      </c>
      <c r="H113" s="197">
        <f t="shared" si="24"/>
        <v>200</v>
      </c>
      <c r="I113" s="219">
        <v>20</v>
      </c>
      <c r="J113" s="303">
        <v>6220</v>
      </c>
      <c r="K113" s="304" t="s">
        <v>87</v>
      </c>
      <c r="L113" s="305">
        <v>6000</v>
      </c>
    </row>
    <row r="114" spans="1:12" ht="22.5" customHeight="1">
      <c r="A114" s="221"/>
      <c r="B114" s="222"/>
      <c r="C114" s="223"/>
      <c r="D114" s="224"/>
      <c r="E114" s="225">
        <f>SUM(E92:E113)</f>
        <v>151750</v>
      </c>
      <c r="F114" s="226">
        <f>SUM(F92:F113)</f>
        <v>75875</v>
      </c>
      <c r="G114" s="225">
        <f t="shared" ref="G114" si="27">SUM(G92:G113)</f>
        <v>39</v>
      </c>
      <c r="H114" s="227">
        <f t="shared" ref="H114" si="28">SUM(H92:H113)</f>
        <v>7800</v>
      </c>
      <c r="I114" s="225">
        <f t="shared" ref="I114" si="29">SUM(I92:I113)</f>
        <v>420</v>
      </c>
      <c r="J114" s="227">
        <f t="shared" ref="J114" si="30">SUM(J92:J113)</f>
        <v>159890</v>
      </c>
      <c r="K114" s="306"/>
      <c r="L114" s="307">
        <f>SUM(L92:L113)</f>
        <v>142000</v>
      </c>
    </row>
    <row r="115" spans="1:12" ht="22.5" customHeight="1">
      <c r="A115" s="228" t="s">
        <v>88</v>
      </c>
      <c r="B115" s="229"/>
      <c r="C115" s="230"/>
      <c r="D115" s="205"/>
      <c r="E115" s="195"/>
      <c r="F115" s="195"/>
      <c r="G115" s="231"/>
      <c r="H115" s="195"/>
      <c r="I115" s="195"/>
      <c r="J115" s="230"/>
      <c r="K115" s="309"/>
      <c r="L115" s="291"/>
    </row>
    <row r="116" spans="1:12" ht="22.5" customHeight="1">
      <c r="A116" s="176" t="s">
        <v>89</v>
      </c>
      <c r="B116" s="199">
        <v>45364</v>
      </c>
      <c r="C116" s="204" t="s">
        <v>90</v>
      </c>
      <c r="D116" s="205" t="s">
        <v>214</v>
      </c>
      <c r="E116" s="206">
        <v>10000</v>
      </c>
      <c r="F116" s="195"/>
      <c r="G116" s="232">
        <v>2</v>
      </c>
      <c r="H116" s="197">
        <f t="shared" ref="H116:H120" si="31">SUM(G116*200)</f>
        <v>400</v>
      </c>
      <c r="I116" s="206">
        <v>20</v>
      </c>
      <c r="J116" s="282">
        <v>10420</v>
      </c>
      <c r="K116" s="288" t="s">
        <v>92</v>
      </c>
      <c r="L116" s="291">
        <v>10000</v>
      </c>
    </row>
    <row r="117" spans="1:12" ht="22.5" customHeight="1">
      <c r="A117" s="176" t="s">
        <v>93</v>
      </c>
      <c r="B117" s="199">
        <v>45377</v>
      </c>
      <c r="C117" s="207" t="s">
        <v>94</v>
      </c>
      <c r="D117" s="177" t="s">
        <v>215</v>
      </c>
      <c r="E117" s="212">
        <v>10000</v>
      </c>
      <c r="F117" s="233"/>
      <c r="G117" s="210">
        <v>2</v>
      </c>
      <c r="H117" s="197">
        <f t="shared" si="31"/>
        <v>400</v>
      </c>
      <c r="I117" s="202">
        <v>20</v>
      </c>
      <c r="J117" s="282">
        <v>10420</v>
      </c>
      <c r="K117" s="310" t="s">
        <v>96</v>
      </c>
      <c r="L117" s="284">
        <v>6000</v>
      </c>
    </row>
    <row r="118" spans="1:12" ht="22.5" customHeight="1">
      <c r="A118" s="176" t="s">
        <v>97</v>
      </c>
      <c r="B118" s="199">
        <v>45374</v>
      </c>
      <c r="C118" s="204" t="s">
        <v>98</v>
      </c>
      <c r="D118" s="205" t="s">
        <v>194</v>
      </c>
      <c r="E118" s="234">
        <v>12000</v>
      </c>
      <c r="F118" s="235"/>
      <c r="G118" s="232">
        <v>2</v>
      </c>
      <c r="H118" s="197">
        <f t="shared" si="31"/>
        <v>400</v>
      </c>
      <c r="I118" s="206">
        <v>20</v>
      </c>
      <c r="J118" s="282">
        <v>12400</v>
      </c>
      <c r="K118" s="288" t="s">
        <v>99</v>
      </c>
      <c r="L118" s="291"/>
    </row>
    <row r="119" spans="1:12" ht="22.5" customHeight="1">
      <c r="A119" s="176" t="s">
        <v>100</v>
      </c>
      <c r="B119" s="199">
        <v>45384</v>
      </c>
      <c r="C119" s="236" t="s">
        <v>101</v>
      </c>
      <c r="D119" s="205" t="s">
        <v>216</v>
      </c>
      <c r="E119" s="206">
        <v>10000</v>
      </c>
      <c r="F119" s="195"/>
      <c r="G119" s="232">
        <v>3</v>
      </c>
      <c r="H119" s="197">
        <f t="shared" si="31"/>
        <v>600</v>
      </c>
      <c r="I119" s="206">
        <v>20</v>
      </c>
      <c r="J119" s="282">
        <v>10620</v>
      </c>
      <c r="K119" s="311" t="s">
        <v>103</v>
      </c>
      <c r="L119" s="291">
        <v>10000</v>
      </c>
    </row>
    <row r="120" spans="1:12" ht="22.5" customHeight="1">
      <c r="A120" s="176" t="s">
        <v>104</v>
      </c>
      <c r="B120" s="199">
        <v>45385</v>
      </c>
      <c r="C120" s="237" t="s">
        <v>105</v>
      </c>
      <c r="D120" s="205" t="s">
        <v>217</v>
      </c>
      <c r="E120" s="206">
        <v>12000</v>
      </c>
      <c r="F120" s="195"/>
      <c r="G120" s="238">
        <v>6</v>
      </c>
      <c r="H120" s="197">
        <f t="shared" si="31"/>
        <v>1200</v>
      </c>
      <c r="I120" s="219">
        <v>20</v>
      </c>
      <c r="J120" s="282">
        <v>13200</v>
      </c>
      <c r="K120" s="311" t="s">
        <v>107</v>
      </c>
      <c r="L120" s="291">
        <v>12000</v>
      </c>
    </row>
    <row r="121" spans="1:12" ht="22.5" customHeight="1">
      <c r="A121" s="239"/>
      <c r="B121" s="240"/>
      <c r="C121" s="241" t="s">
        <v>108</v>
      </c>
      <c r="D121" s="242"/>
      <c r="E121" s="243">
        <f>SUM(E116:E120)</f>
        <v>54000</v>
      </c>
      <c r="F121" s="226"/>
      <c r="G121" s="226">
        <f>SUM(G116:G120)</f>
        <v>15</v>
      </c>
      <c r="H121" s="226">
        <f>SUM(H116:H120)</f>
        <v>3000</v>
      </c>
      <c r="I121" s="243">
        <f>SUM(I116:I120)</f>
        <v>100</v>
      </c>
      <c r="J121" s="226">
        <f>SUM(J116:J120)</f>
        <v>57060</v>
      </c>
      <c r="K121" s="306"/>
      <c r="L121" s="312">
        <f>SUM(L116:L120)</f>
        <v>38000</v>
      </c>
    </row>
    <row r="122" spans="1:12" ht="22.5" customHeight="1">
      <c r="A122" s="228" t="s">
        <v>109</v>
      </c>
      <c r="B122" s="244"/>
      <c r="C122" s="245"/>
      <c r="D122" s="205"/>
      <c r="E122" s="195"/>
      <c r="F122" s="195"/>
      <c r="G122" s="231"/>
      <c r="H122" s="195"/>
      <c r="I122" s="195"/>
      <c r="J122" s="195"/>
      <c r="K122" s="309"/>
      <c r="L122" s="313"/>
    </row>
    <row r="123" spans="1:12" ht="22.5" customHeight="1">
      <c r="A123" s="246" t="s">
        <v>110</v>
      </c>
      <c r="B123" s="247"/>
      <c r="C123" s="248" t="s">
        <v>111</v>
      </c>
      <c r="D123" s="242"/>
      <c r="E123" s="243"/>
      <c r="F123" s="226"/>
      <c r="G123" s="249"/>
      <c r="H123" s="226"/>
      <c r="I123" s="243"/>
      <c r="J123" s="226"/>
      <c r="K123" s="306"/>
      <c r="L123" s="312"/>
    </row>
    <row r="124" spans="1:12" ht="22.5" customHeight="1">
      <c r="A124" s="228" t="s">
        <v>112</v>
      </c>
      <c r="B124" s="250"/>
      <c r="C124" s="245"/>
      <c r="D124" s="205"/>
      <c r="E124" s="195"/>
      <c r="F124" s="195"/>
      <c r="G124" s="231"/>
      <c r="H124" s="195"/>
      <c r="I124" s="195"/>
      <c r="J124" s="195"/>
      <c r="K124" s="309"/>
      <c r="L124" s="313"/>
    </row>
    <row r="125" spans="1:12" ht="22.5" customHeight="1">
      <c r="A125" s="176" t="s">
        <v>113</v>
      </c>
      <c r="B125" s="199">
        <v>45400</v>
      </c>
      <c r="C125" s="251" t="s">
        <v>114</v>
      </c>
      <c r="D125" s="177" t="s">
        <v>196</v>
      </c>
      <c r="E125" s="206">
        <v>12000</v>
      </c>
      <c r="F125" s="230"/>
      <c r="G125" s="209">
        <v>2</v>
      </c>
      <c r="H125" s="197">
        <f t="shared" ref="H125:H127" si="32">SUM(G125*200)</f>
        <v>400</v>
      </c>
      <c r="I125" s="314">
        <v>20</v>
      </c>
      <c r="J125" s="282">
        <v>12400</v>
      </c>
      <c r="K125" s="295" t="s">
        <v>115</v>
      </c>
      <c r="L125" s="291">
        <v>12000</v>
      </c>
    </row>
    <row r="126" spans="1:12" ht="22.5" customHeight="1">
      <c r="A126" s="176" t="s">
        <v>116</v>
      </c>
      <c r="B126" s="199">
        <v>45351</v>
      </c>
      <c r="C126" s="252" t="s">
        <v>117</v>
      </c>
      <c r="D126" s="205" t="s">
        <v>218</v>
      </c>
      <c r="E126" s="206">
        <v>7000</v>
      </c>
      <c r="F126" s="195"/>
      <c r="G126" s="209">
        <v>1</v>
      </c>
      <c r="H126" s="197">
        <f t="shared" si="32"/>
        <v>200</v>
      </c>
      <c r="I126" s="314">
        <v>20</v>
      </c>
      <c r="J126" s="282">
        <v>7200</v>
      </c>
      <c r="K126" s="288" t="s">
        <v>119</v>
      </c>
      <c r="L126" s="291">
        <v>7000</v>
      </c>
    </row>
    <row r="127" spans="1:12" ht="22.5" customHeight="1">
      <c r="A127" s="176" t="s">
        <v>120</v>
      </c>
      <c r="B127" s="199">
        <v>45368</v>
      </c>
      <c r="C127" s="253" t="s">
        <v>121</v>
      </c>
      <c r="D127" s="177" t="s">
        <v>184</v>
      </c>
      <c r="E127" s="209">
        <v>10000</v>
      </c>
      <c r="F127" s="254"/>
      <c r="G127" s="209">
        <v>2</v>
      </c>
      <c r="H127" s="197">
        <f t="shared" si="32"/>
        <v>400</v>
      </c>
      <c r="I127" s="315">
        <v>20</v>
      </c>
      <c r="J127" s="254">
        <v>10420</v>
      </c>
      <c r="K127" s="316" t="s">
        <v>122</v>
      </c>
      <c r="L127" s="291">
        <v>10000</v>
      </c>
    </row>
    <row r="128" spans="1:12" ht="22.5" customHeight="1">
      <c r="A128" s="246"/>
      <c r="B128" s="247"/>
      <c r="C128" s="255"/>
      <c r="D128" s="242"/>
      <c r="E128" s="256">
        <f>SUM(E125:E127)</f>
        <v>29000</v>
      </c>
      <c r="F128" s="257"/>
      <c r="G128" s="256">
        <f>SUM(G125:G127)</f>
        <v>5</v>
      </c>
      <c r="H128" s="257">
        <f>SUM(H125:H127)</f>
        <v>1000</v>
      </c>
      <c r="I128" s="257">
        <f>SUM(I125:I127)</f>
        <v>60</v>
      </c>
      <c r="J128" s="257">
        <f>SUM(J125:J127)</f>
        <v>30020</v>
      </c>
      <c r="K128" s="317"/>
      <c r="L128" s="312">
        <f>SUM(L125:L127)</f>
        <v>29000</v>
      </c>
    </row>
    <row r="129" spans="1:12" ht="22.5" customHeight="1">
      <c r="B129" s="244"/>
      <c r="C129" s="80"/>
      <c r="D129" s="258"/>
      <c r="E129" s="259">
        <f>SUM(E114,E121,E123,E128)</f>
        <v>234750</v>
      </c>
      <c r="F129" s="260"/>
      <c r="G129" s="259">
        <f>SUM(G114,G121,G123,G128)</f>
        <v>59</v>
      </c>
      <c r="H129" s="259">
        <f>SUM(H114,H121,H123,H128)</f>
        <v>11800</v>
      </c>
      <c r="I129" s="318">
        <f>SUM(I114,I121,I123,I128)</f>
        <v>580</v>
      </c>
      <c r="J129" s="259">
        <f>SUM(J114,J121,J123,J128)</f>
        <v>246970</v>
      </c>
      <c r="K129" s="319"/>
      <c r="L129" s="291"/>
    </row>
    <row r="130" spans="1:12" ht="22.5" customHeight="1">
      <c r="A130" s="228" t="s">
        <v>123</v>
      </c>
      <c r="B130" s="261"/>
      <c r="C130" s="262"/>
      <c r="D130" s="15"/>
      <c r="E130" s="195"/>
      <c r="F130" s="263" t="s">
        <v>124</v>
      </c>
      <c r="G130" s="264"/>
      <c r="H130" s="195"/>
      <c r="I130" s="195"/>
      <c r="J130" s="230"/>
      <c r="K130" s="309"/>
      <c r="L130" s="284"/>
    </row>
    <row r="131" spans="1:12" ht="22.5" customHeight="1">
      <c r="A131" s="176" t="s">
        <v>125</v>
      </c>
      <c r="B131" s="199">
        <v>45351</v>
      </c>
      <c r="C131" s="265" t="s">
        <v>126</v>
      </c>
      <c r="D131" s="205" t="s">
        <v>219</v>
      </c>
      <c r="E131" s="202">
        <v>5000</v>
      </c>
      <c r="F131" s="266">
        <v>325</v>
      </c>
      <c r="G131" s="203">
        <v>2</v>
      </c>
      <c r="H131" s="266">
        <f t="shared" ref="H131:H132" si="33">SUM(G131*200)</f>
        <v>400</v>
      </c>
      <c r="I131" s="202">
        <v>20</v>
      </c>
      <c r="J131" s="282">
        <f>SUM(E131,F131,H131,I131)</f>
        <v>5745</v>
      </c>
      <c r="K131" s="319" t="s">
        <v>128</v>
      </c>
      <c r="L131" s="284">
        <v>5000</v>
      </c>
    </row>
    <row r="132" spans="1:12" ht="22.5" customHeight="1">
      <c r="A132" s="176" t="s">
        <v>129</v>
      </c>
      <c r="B132" s="199">
        <v>45379</v>
      </c>
      <c r="C132" s="265" t="s">
        <v>130</v>
      </c>
      <c r="D132" s="205" t="s">
        <v>220</v>
      </c>
      <c r="E132" s="206">
        <v>5500</v>
      </c>
      <c r="F132" s="195"/>
      <c r="G132" s="203">
        <v>1</v>
      </c>
      <c r="H132" s="266">
        <f t="shared" si="33"/>
        <v>200</v>
      </c>
      <c r="I132" s="206">
        <v>20</v>
      </c>
      <c r="J132" s="282">
        <f>SUM(E132,H132:I132)</f>
        <v>5720</v>
      </c>
      <c r="K132" s="319" t="s">
        <v>132</v>
      </c>
      <c r="L132" s="291">
        <v>5500</v>
      </c>
    </row>
    <row r="133" spans="1:12" ht="22.5" customHeight="1">
      <c r="A133" s="267" t="s">
        <v>133</v>
      </c>
      <c r="B133" s="268"/>
      <c r="C133" s="269"/>
      <c r="D133" s="242"/>
      <c r="E133" s="270">
        <f>SUM(E131:E132)</f>
        <v>10500</v>
      </c>
      <c r="F133" s="226">
        <f t="shared" ref="F133:I133" si="34">SUM(F131:F132)</f>
        <v>325</v>
      </c>
      <c r="G133" s="243">
        <f t="shared" si="34"/>
        <v>3</v>
      </c>
      <c r="H133" s="226">
        <f t="shared" si="34"/>
        <v>600</v>
      </c>
      <c r="I133" s="320">
        <f t="shared" si="34"/>
        <v>40</v>
      </c>
      <c r="J133" s="321">
        <f>SUM(F133,H133,I133,)</f>
        <v>965</v>
      </c>
      <c r="K133" s="322"/>
      <c r="L133" s="323"/>
    </row>
    <row r="134" spans="1:12" ht="22.5" customHeight="1">
      <c r="E134" s="271" t="s">
        <v>134</v>
      </c>
      <c r="F134" s="272">
        <f>SUM(F129,F133)</f>
        <v>325</v>
      </c>
      <c r="H134" s="272">
        <f>SUM(H129,H133)</f>
        <v>12400</v>
      </c>
      <c r="I134" s="324">
        <f>SUM(I129,I133)</f>
        <v>620</v>
      </c>
      <c r="J134" s="325" t="s">
        <v>135</v>
      </c>
      <c r="L134" s="326"/>
    </row>
    <row r="135" spans="1:12" ht="22.5" customHeight="1"/>
    <row r="136" spans="1:12" ht="22.5" customHeight="1">
      <c r="A136" s="185" t="s">
        <v>8</v>
      </c>
      <c r="B136" s="186" t="s">
        <v>221</v>
      </c>
      <c r="C136" s="187"/>
      <c r="D136" s="187"/>
      <c r="E136" s="187"/>
      <c r="F136" s="273"/>
      <c r="G136" s="189"/>
      <c r="H136" s="273"/>
      <c r="I136" s="187"/>
      <c r="J136" s="187"/>
      <c r="K136" s="187"/>
      <c r="L136" s="187"/>
    </row>
    <row r="137" spans="1:12" ht="22.5" customHeight="1">
      <c r="A137" s="190" t="s">
        <v>10</v>
      </c>
      <c r="B137" s="191">
        <v>45409</v>
      </c>
      <c r="C137" s="192" t="s">
        <v>222</v>
      </c>
      <c r="D137" s="193" t="s">
        <v>223</v>
      </c>
      <c r="E137" s="194">
        <v>8000</v>
      </c>
      <c r="F137" s="195">
        <f>SUM(E137*0.5)</f>
        <v>4000</v>
      </c>
      <c r="G137" s="196">
        <v>1</v>
      </c>
      <c r="H137" s="197">
        <f t="shared" ref="H137:H139" si="35">SUM(G137*200)</f>
        <v>200</v>
      </c>
      <c r="I137" s="194">
        <v>20</v>
      </c>
      <c r="J137" s="279">
        <v>8220</v>
      </c>
      <c r="K137" s="280" t="s">
        <v>13</v>
      </c>
      <c r="L137" s="281">
        <v>8000</v>
      </c>
    </row>
    <row r="138" spans="1:12" ht="22.5" customHeight="1">
      <c r="A138" s="198" t="s">
        <v>14</v>
      </c>
      <c r="B138" s="199">
        <v>45406</v>
      </c>
      <c r="C138" s="200" t="s">
        <v>224</v>
      </c>
      <c r="D138" s="201" t="s">
        <v>225</v>
      </c>
      <c r="E138" s="202">
        <v>8000</v>
      </c>
      <c r="F138" s="195">
        <f t="shared" ref="F138:F158" si="36">SUM(E138*0.5)</f>
        <v>4000</v>
      </c>
      <c r="G138" s="203">
        <v>2</v>
      </c>
      <c r="H138" s="197">
        <f t="shared" si="35"/>
        <v>400</v>
      </c>
      <c r="I138" s="206">
        <v>20</v>
      </c>
      <c r="J138" s="282">
        <v>8420</v>
      </c>
      <c r="K138" s="283" t="s">
        <v>17</v>
      </c>
      <c r="L138" s="284">
        <v>8000</v>
      </c>
    </row>
    <row r="139" spans="1:12" ht="22.5" customHeight="1">
      <c r="A139" s="190" t="s">
        <v>18</v>
      </c>
      <c r="B139" s="199">
        <v>45411</v>
      </c>
      <c r="C139" s="204" t="s">
        <v>226</v>
      </c>
      <c r="D139" s="205" t="s">
        <v>227</v>
      </c>
      <c r="E139" s="202">
        <v>8000</v>
      </c>
      <c r="F139" s="195">
        <f t="shared" si="36"/>
        <v>4000</v>
      </c>
      <c r="G139" s="203">
        <v>1</v>
      </c>
      <c r="H139" s="197">
        <f t="shared" si="35"/>
        <v>200</v>
      </c>
      <c r="I139" s="206">
        <v>20</v>
      </c>
      <c r="J139" s="282">
        <f>SUM(E139,H139:I139)</f>
        <v>8220</v>
      </c>
      <c r="K139" s="288" t="s">
        <v>21</v>
      </c>
      <c r="L139" s="284">
        <v>8000</v>
      </c>
    </row>
    <row r="140" spans="1:12" ht="22.5" customHeight="1">
      <c r="A140" s="190" t="s">
        <v>22</v>
      </c>
      <c r="B140" s="199">
        <v>45396</v>
      </c>
      <c r="C140" s="26" t="s">
        <v>228</v>
      </c>
      <c r="D140" s="205" t="s">
        <v>229</v>
      </c>
      <c r="E140" s="206">
        <v>7250</v>
      </c>
      <c r="F140" s="195">
        <f t="shared" si="36"/>
        <v>3625</v>
      </c>
      <c r="G140" s="203">
        <v>1</v>
      </c>
      <c r="H140" s="197">
        <f t="shared" ref="H140:H158" si="37">SUM(G140*200)</f>
        <v>200</v>
      </c>
      <c r="I140" s="206">
        <v>20</v>
      </c>
      <c r="J140" s="282">
        <f>SUM(E140,H140:I140)</f>
        <v>7470</v>
      </c>
      <c r="K140" s="290" t="s">
        <v>25</v>
      </c>
      <c r="L140" s="291">
        <v>5000</v>
      </c>
    </row>
    <row r="141" spans="1:12" ht="22.5" customHeight="1">
      <c r="A141" s="190" t="s">
        <v>26</v>
      </c>
      <c r="B141" s="199">
        <v>45399</v>
      </c>
      <c r="C141" s="207" t="s">
        <v>230</v>
      </c>
      <c r="D141" s="208" t="s">
        <v>231</v>
      </c>
      <c r="E141" s="209">
        <v>6000</v>
      </c>
      <c r="F141" s="195">
        <f t="shared" si="36"/>
        <v>3000</v>
      </c>
      <c r="G141" s="210">
        <v>1</v>
      </c>
      <c r="H141" s="197">
        <f t="shared" si="37"/>
        <v>200</v>
      </c>
      <c r="I141" s="209">
        <v>20</v>
      </c>
      <c r="J141" s="254">
        <v>6220</v>
      </c>
      <c r="K141" s="24" t="s">
        <v>29</v>
      </c>
      <c r="L141" s="291">
        <v>6000</v>
      </c>
    </row>
    <row r="142" spans="1:12" ht="22.5" customHeight="1">
      <c r="A142" s="190" t="s">
        <v>30</v>
      </c>
      <c r="B142" s="199">
        <v>45420</v>
      </c>
      <c r="C142" s="204" t="s">
        <v>232</v>
      </c>
      <c r="D142" s="205" t="s">
        <v>225</v>
      </c>
      <c r="E142" s="209">
        <v>6000</v>
      </c>
      <c r="F142" s="195">
        <f t="shared" si="36"/>
        <v>3000</v>
      </c>
      <c r="G142" s="210">
        <v>1</v>
      </c>
      <c r="H142" s="197">
        <f t="shared" si="37"/>
        <v>200</v>
      </c>
      <c r="I142" s="209">
        <v>20</v>
      </c>
      <c r="J142" s="254">
        <v>6200</v>
      </c>
      <c r="K142" s="294" t="s">
        <v>32</v>
      </c>
      <c r="L142" s="291">
        <v>6000</v>
      </c>
    </row>
    <row r="143" spans="1:12" ht="22.5" customHeight="1">
      <c r="A143" s="190" t="s">
        <v>33</v>
      </c>
      <c r="B143" s="199">
        <v>45412</v>
      </c>
      <c r="C143" s="204" t="s">
        <v>233</v>
      </c>
      <c r="D143" s="205" t="s">
        <v>225</v>
      </c>
      <c r="E143" s="202">
        <v>6000</v>
      </c>
      <c r="F143" s="195">
        <f t="shared" si="36"/>
        <v>3000</v>
      </c>
      <c r="G143" s="210">
        <v>1</v>
      </c>
      <c r="H143" s="197">
        <f t="shared" si="37"/>
        <v>200</v>
      </c>
      <c r="I143" s="202">
        <v>20</v>
      </c>
      <c r="J143" s="197">
        <v>6220</v>
      </c>
      <c r="K143" s="288" t="s">
        <v>17</v>
      </c>
      <c r="L143" s="284">
        <v>6000</v>
      </c>
    </row>
    <row r="144" spans="1:12" ht="22.5" customHeight="1">
      <c r="A144" s="190" t="s">
        <v>35</v>
      </c>
      <c r="B144" s="199">
        <v>45384</v>
      </c>
      <c r="C144" s="211" t="s">
        <v>234</v>
      </c>
      <c r="D144" s="177" t="s">
        <v>235</v>
      </c>
      <c r="E144" s="212">
        <v>6000</v>
      </c>
      <c r="F144" s="195">
        <f t="shared" si="36"/>
        <v>3000</v>
      </c>
      <c r="G144" s="210">
        <v>1</v>
      </c>
      <c r="H144" s="197">
        <f t="shared" si="37"/>
        <v>200</v>
      </c>
      <c r="I144" s="206">
        <v>20</v>
      </c>
      <c r="J144" s="282">
        <v>6220</v>
      </c>
      <c r="K144" s="295" t="s">
        <v>38</v>
      </c>
      <c r="L144" s="284">
        <v>6000</v>
      </c>
    </row>
    <row r="145" spans="1:12" ht="22.5" customHeight="1">
      <c r="A145" s="213" t="s">
        <v>39</v>
      </c>
      <c r="B145" s="199">
        <v>45413</v>
      </c>
      <c r="C145" s="14" t="s">
        <v>236</v>
      </c>
      <c r="D145" s="205" t="s">
        <v>237</v>
      </c>
      <c r="E145" s="202">
        <v>8000</v>
      </c>
      <c r="F145" s="195">
        <f t="shared" si="36"/>
        <v>4000</v>
      </c>
      <c r="G145" s="203">
        <v>1</v>
      </c>
      <c r="H145" s="197">
        <f t="shared" si="37"/>
        <v>200</v>
      </c>
      <c r="I145" s="202">
        <v>20</v>
      </c>
      <c r="J145" s="282">
        <f>SUM(E145,H145:I145)</f>
        <v>8220</v>
      </c>
      <c r="K145" s="288" t="s">
        <v>42</v>
      </c>
      <c r="L145" s="284">
        <v>8000</v>
      </c>
    </row>
    <row r="146" spans="1:12" ht="22.5" customHeight="1">
      <c r="A146" s="213" t="s">
        <v>43</v>
      </c>
      <c r="B146" s="199">
        <v>45416</v>
      </c>
      <c r="C146" s="204" t="s">
        <v>238</v>
      </c>
      <c r="D146" s="14" t="s">
        <v>239</v>
      </c>
      <c r="E146" s="202">
        <v>8000</v>
      </c>
      <c r="F146" s="195">
        <f t="shared" si="36"/>
        <v>4000</v>
      </c>
      <c r="G146" s="203">
        <v>2</v>
      </c>
      <c r="H146" s="197">
        <f t="shared" si="37"/>
        <v>400</v>
      </c>
      <c r="I146" s="206">
        <v>20</v>
      </c>
      <c r="J146" s="282">
        <f>SUM(E146,H146:I146)</f>
        <v>8420</v>
      </c>
      <c r="K146" s="288" t="s">
        <v>46</v>
      </c>
      <c r="L146" s="284">
        <v>8000</v>
      </c>
    </row>
    <row r="147" spans="1:12" ht="22.5" customHeight="1">
      <c r="A147" s="213" t="s">
        <v>47</v>
      </c>
      <c r="B147" s="199">
        <v>45409</v>
      </c>
      <c r="C147" s="204" t="s">
        <v>240</v>
      </c>
      <c r="D147" s="205" t="s">
        <v>241</v>
      </c>
      <c r="E147" s="202">
        <v>8000</v>
      </c>
      <c r="F147" s="195">
        <f t="shared" si="36"/>
        <v>4000</v>
      </c>
      <c r="G147" s="203">
        <v>3</v>
      </c>
      <c r="H147" s="197">
        <f t="shared" si="37"/>
        <v>600</v>
      </c>
      <c r="I147" s="202">
        <v>20</v>
      </c>
      <c r="J147" s="282">
        <v>8600</v>
      </c>
      <c r="K147" s="288" t="s">
        <v>50</v>
      </c>
      <c r="L147" s="291">
        <v>8000</v>
      </c>
    </row>
    <row r="148" spans="1:12" ht="22.5" customHeight="1">
      <c r="A148" s="213" t="s">
        <v>51</v>
      </c>
      <c r="B148" s="199"/>
      <c r="C148" s="207" t="s">
        <v>162</v>
      </c>
      <c r="D148" s="205"/>
      <c r="E148" s="212"/>
      <c r="F148" s="195"/>
      <c r="G148" s="210"/>
      <c r="H148" s="197"/>
      <c r="I148" s="212"/>
      <c r="J148" s="282"/>
      <c r="K148" s="295"/>
      <c r="L148" s="284"/>
    </row>
    <row r="149" spans="1:12" ht="22.5" customHeight="1">
      <c r="A149" s="213" t="s">
        <v>55</v>
      </c>
      <c r="B149" s="199">
        <v>45400</v>
      </c>
      <c r="C149" s="204" t="s">
        <v>242</v>
      </c>
      <c r="D149" s="205" t="s">
        <v>241</v>
      </c>
      <c r="E149" s="202">
        <v>7500</v>
      </c>
      <c r="F149" s="195">
        <f t="shared" si="36"/>
        <v>3750</v>
      </c>
      <c r="G149" s="203">
        <v>2</v>
      </c>
      <c r="H149" s="197">
        <f t="shared" si="37"/>
        <v>400</v>
      </c>
      <c r="I149" s="206">
        <v>20</v>
      </c>
      <c r="J149" s="282">
        <v>7920</v>
      </c>
      <c r="K149" s="288" t="s">
        <v>57</v>
      </c>
      <c r="L149" s="284">
        <v>7500</v>
      </c>
    </row>
    <row r="150" spans="1:12" ht="22.5" customHeight="1">
      <c r="A150" s="213" t="s">
        <v>58</v>
      </c>
      <c r="B150" s="199">
        <v>45405</v>
      </c>
      <c r="C150" s="204" t="s">
        <v>243</v>
      </c>
      <c r="D150" s="205" t="s">
        <v>225</v>
      </c>
      <c r="E150" s="202">
        <v>6000</v>
      </c>
      <c r="F150" s="195">
        <f t="shared" si="36"/>
        <v>3000</v>
      </c>
      <c r="G150" s="203">
        <v>3</v>
      </c>
      <c r="H150" s="197">
        <f t="shared" si="37"/>
        <v>600</v>
      </c>
      <c r="I150" s="206">
        <v>20</v>
      </c>
      <c r="J150" s="254">
        <v>6620</v>
      </c>
      <c r="K150" s="296" t="s">
        <v>17</v>
      </c>
      <c r="L150" s="284">
        <v>6000</v>
      </c>
    </row>
    <row r="151" spans="1:12" ht="22.5" customHeight="1">
      <c r="A151" s="213" t="s">
        <v>60</v>
      </c>
      <c r="B151" s="199">
        <v>45415</v>
      </c>
      <c r="C151" s="204" t="s">
        <v>244</v>
      </c>
      <c r="D151" s="205" t="s">
        <v>225</v>
      </c>
      <c r="E151" s="202">
        <v>6000</v>
      </c>
      <c r="F151" s="195">
        <f t="shared" si="36"/>
        <v>3000</v>
      </c>
      <c r="G151" s="203">
        <v>1</v>
      </c>
      <c r="H151" s="197">
        <f t="shared" si="37"/>
        <v>200</v>
      </c>
      <c r="I151" s="206">
        <v>20</v>
      </c>
      <c r="J151" s="282">
        <v>6220</v>
      </c>
      <c r="K151" s="288" t="s">
        <v>62</v>
      </c>
      <c r="L151" s="284">
        <v>6000</v>
      </c>
    </row>
    <row r="152" spans="1:12" ht="22.5" customHeight="1">
      <c r="A152" s="214" t="s">
        <v>63</v>
      </c>
      <c r="B152" s="199"/>
      <c r="C152" s="204" t="s">
        <v>162</v>
      </c>
      <c r="D152" s="205"/>
      <c r="E152" s="206"/>
      <c r="F152" s="195"/>
      <c r="G152" s="203"/>
      <c r="H152" s="197"/>
      <c r="I152" s="206"/>
      <c r="J152" s="282"/>
      <c r="K152" s="288"/>
      <c r="L152" s="291"/>
    </row>
    <row r="153" spans="1:12" ht="22.5" customHeight="1">
      <c r="A153" s="214" t="s">
        <v>67</v>
      </c>
      <c r="B153" s="199"/>
      <c r="C153" s="204" t="s">
        <v>162</v>
      </c>
      <c r="D153" s="205"/>
      <c r="E153" s="206"/>
      <c r="F153" s="195"/>
      <c r="G153" s="203"/>
      <c r="H153" s="197"/>
      <c r="I153" s="206"/>
      <c r="J153" s="282"/>
      <c r="K153" s="295"/>
      <c r="L153" s="284"/>
    </row>
    <row r="154" spans="1:12" ht="22.5" customHeight="1">
      <c r="A154" s="214" t="s">
        <v>71</v>
      </c>
      <c r="B154" s="199">
        <v>45412</v>
      </c>
      <c r="C154" s="204" t="s">
        <v>245</v>
      </c>
      <c r="D154" s="205" t="s">
        <v>246</v>
      </c>
      <c r="E154" s="206">
        <v>8000</v>
      </c>
      <c r="F154" s="195">
        <f t="shared" si="36"/>
        <v>4000</v>
      </c>
      <c r="G154" s="203">
        <v>3</v>
      </c>
      <c r="H154" s="197">
        <f t="shared" si="37"/>
        <v>600</v>
      </c>
      <c r="I154" s="206">
        <v>20</v>
      </c>
      <c r="J154" s="282">
        <v>8600</v>
      </c>
      <c r="K154" s="288" t="s">
        <v>73</v>
      </c>
      <c r="L154" s="291"/>
    </row>
    <row r="155" spans="1:12" ht="22.5" customHeight="1">
      <c r="A155" s="214" t="s">
        <v>74</v>
      </c>
      <c r="B155" s="199">
        <v>45410</v>
      </c>
      <c r="C155" s="204" t="s">
        <v>247</v>
      </c>
      <c r="D155" s="205" t="s">
        <v>225</v>
      </c>
      <c r="E155" s="206">
        <v>8000</v>
      </c>
      <c r="F155" s="195">
        <f t="shared" si="36"/>
        <v>4000</v>
      </c>
      <c r="G155" s="203">
        <v>2</v>
      </c>
      <c r="H155" s="197">
        <f t="shared" si="37"/>
        <v>400</v>
      </c>
      <c r="I155" s="206">
        <v>20</v>
      </c>
      <c r="J155" s="282">
        <f>SUM(E155,H155:I155)</f>
        <v>8420</v>
      </c>
      <c r="K155" s="288" t="s">
        <v>76</v>
      </c>
      <c r="L155" s="291">
        <v>8000</v>
      </c>
    </row>
    <row r="156" spans="1:12" ht="22.5" customHeight="1">
      <c r="A156" s="214" t="s">
        <v>77</v>
      </c>
      <c r="B156" s="199"/>
      <c r="C156" s="207" t="s">
        <v>162</v>
      </c>
      <c r="D156" s="177"/>
      <c r="E156" s="207"/>
      <c r="F156" s="195">
        <f t="shared" si="36"/>
        <v>0</v>
      </c>
      <c r="G156" s="210"/>
      <c r="H156" s="197">
        <f t="shared" si="37"/>
        <v>0</v>
      </c>
      <c r="I156" s="207"/>
      <c r="J156" s="230"/>
      <c r="K156" s="208"/>
      <c r="L156" s="302"/>
    </row>
    <row r="157" spans="1:12" ht="22.5" customHeight="1">
      <c r="A157" s="214" t="s">
        <v>81</v>
      </c>
      <c r="B157" s="199">
        <v>45410</v>
      </c>
      <c r="C157" s="207" t="s">
        <v>248</v>
      </c>
      <c r="D157" s="177" t="s">
        <v>246</v>
      </c>
      <c r="E157" s="209">
        <v>6000</v>
      </c>
      <c r="F157" s="195">
        <f t="shared" si="36"/>
        <v>3000</v>
      </c>
      <c r="G157" s="210">
        <v>1</v>
      </c>
      <c r="H157" s="197">
        <f t="shared" si="37"/>
        <v>200</v>
      </c>
      <c r="I157" s="206">
        <v>20</v>
      </c>
      <c r="J157" s="282">
        <v>6220</v>
      </c>
      <c r="K157" s="295" t="s">
        <v>83</v>
      </c>
      <c r="L157" s="291">
        <v>6000</v>
      </c>
    </row>
    <row r="158" spans="1:12" ht="22.5" customHeight="1">
      <c r="A158" s="215" t="s">
        <v>84</v>
      </c>
      <c r="B158" s="216">
        <v>45408</v>
      </c>
      <c r="C158" s="217" t="s">
        <v>249</v>
      </c>
      <c r="D158" s="218" t="s">
        <v>250</v>
      </c>
      <c r="E158" s="219">
        <v>6000</v>
      </c>
      <c r="F158" s="195">
        <f t="shared" si="36"/>
        <v>3000</v>
      </c>
      <c r="G158" s="220">
        <v>1</v>
      </c>
      <c r="H158" s="197">
        <f t="shared" si="37"/>
        <v>200</v>
      </c>
      <c r="I158" s="219">
        <v>20</v>
      </c>
      <c r="J158" s="303">
        <v>6220</v>
      </c>
      <c r="K158" s="304" t="s">
        <v>87</v>
      </c>
      <c r="L158" s="305">
        <v>6000</v>
      </c>
    </row>
    <row r="159" spans="1:12" ht="22.5" customHeight="1">
      <c r="A159" s="221"/>
      <c r="B159" s="222"/>
    </row>
    <row r="160" spans="1:12" ht="22.5" customHeight="1">
      <c r="A160" s="228" t="s">
        <v>88</v>
      </c>
      <c r="B160" s="229"/>
      <c r="C160" s="230"/>
      <c r="D160" s="205"/>
      <c r="E160" s="195"/>
      <c r="F160" s="195"/>
      <c r="G160" s="231"/>
      <c r="H160" s="195"/>
      <c r="I160" s="195"/>
      <c r="J160" s="230"/>
      <c r="K160" s="309"/>
      <c r="L160" s="291"/>
    </row>
    <row r="161" spans="1:12" ht="22.5" customHeight="1">
      <c r="A161" s="176" t="s">
        <v>89</v>
      </c>
      <c r="B161" s="199">
        <v>45388</v>
      </c>
      <c r="C161" s="204" t="s">
        <v>90</v>
      </c>
      <c r="D161" s="205" t="s">
        <v>251</v>
      </c>
      <c r="E161" s="206">
        <v>10000</v>
      </c>
      <c r="F161" s="195"/>
      <c r="G161" s="232">
        <v>2</v>
      </c>
      <c r="H161" s="197">
        <f t="shared" ref="H161:H163" si="38">SUM(G161*200)</f>
        <v>400</v>
      </c>
      <c r="I161" s="206">
        <v>20</v>
      </c>
      <c r="J161" s="282">
        <v>10420</v>
      </c>
      <c r="K161" s="288" t="s">
        <v>92</v>
      </c>
      <c r="L161" s="291">
        <v>10000</v>
      </c>
    </row>
    <row r="162" spans="1:12" ht="22.5" customHeight="1">
      <c r="A162" s="176" t="s">
        <v>93</v>
      </c>
      <c r="B162" s="199">
        <v>45416</v>
      </c>
      <c r="C162" s="207" t="s">
        <v>94</v>
      </c>
      <c r="D162" s="177" t="s">
        <v>252</v>
      </c>
      <c r="E162" s="212">
        <v>10000</v>
      </c>
      <c r="F162" s="233"/>
      <c r="G162" s="210">
        <v>2</v>
      </c>
      <c r="H162" s="197">
        <f t="shared" si="38"/>
        <v>400</v>
      </c>
      <c r="I162" s="202">
        <v>20</v>
      </c>
      <c r="J162" s="282">
        <v>10420</v>
      </c>
      <c r="K162" s="310" t="s">
        <v>96</v>
      </c>
      <c r="L162" s="284">
        <v>6000</v>
      </c>
    </row>
    <row r="163" spans="1:12" ht="22.5" customHeight="1">
      <c r="A163" s="176" t="s">
        <v>97</v>
      </c>
      <c r="B163" s="199">
        <v>45416</v>
      </c>
      <c r="C163" s="204" t="s">
        <v>98</v>
      </c>
      <c r="D163" s="205" t="s">
        <v>253</v>
      </c>
      <c r="E163" s="234">
        <v>12000</v>
      </c>
      <c r="F163" s="235"/>
      <c r="G163" s="232">
        <v>2</v>
      </c>
      <c r="H163" s="197">
        <f t="shared" si="38"/>
        <v>400</v>
      </c>
      <c r="I163" s="206">
        <v>20</v>
      </c>
      <c r="J163" s="282">
        <v>12400</v>
      </c>
      <c r="K163" s="288" t="s">
        <v>99</v>
      </c>
      <c r="L163" s="291"/>
    </row>
    <row r="164" spans="1:12" ht="22.5" customHeight="1">
      <c r="A164" s="176" t="s">
        <v>100</v>
      </c>
      <c r="B164" s="199">
        <v>45415</v>
      </c>
      <c r="C164" s="236" t="s">
        <v>101</v>
      </c>
      <c r="D164" s="205" t="s">
        <v>254</v>
      </c>
      <c r="E164" s="206">
        <v>10000</v>
      </c>
      <c r="F164" s="195"/>
      <c r="G164" s="232">
        <v>3</v>
      </c>
      <c r="H164" s="197">
        <v>600</v>
      </c>
      <c r="I164" s="206">
        <v>20</v>
      </c>
      <c r="J164" s="282">
        <v>10620</v>
      </c>
      <c r="K164" s="311" t="s">
        <v>103</v>
      </c>
      <c r="L164" s="291">
        <v>10000</v>
      </c>
    </row>
    <row r="165" spans="1:12" ht="22.5" customHeight="1">
      <c r="A165" s="176" t="s">
        <v>104</v>
      </c>
      <c r="B165" s="199">
        <v>45417</v>
      </c>
      <c r="C165" s="237" t="s">
        <v>105</v>
      </c>
      <c r="D165" s="205" t="s">
        <v>255</v>
      </c>
      <c r="E165" s="206">
        <v>12000</v>
      </c>
      <c r="F165" s="195"/>
      <c r="G165" s="238">
        <v>6</v>
      </c>
      <c r="H165" s="197">
        <f t="shared" ref="H165" si="39">SUM(G165*200)</f>
        <v>1200</v>
      </c>
      <c r="I165" s="219">
        <v>20</v>
      </c>
      <c r="J165" s="282">
        <v>13200</v>
      </c>
      <c r="K165" s="311" t="s">
        <v>107</v>
      </c>
      <c r="L165" s="291">
        <v>12000</v>
      </c>
    </row>
    <row r="166" spans="1:12" ht="22.5" customHeight="1">
      <c r="A166" s="239"/>
      <c r="B166" s="240"/>
      <c r="C166" s="241" t="s">
        <v>108</v>
      </c>
      <c r="D166" s="242"/>
      <c r="E166" s="243">
        <f>SUM(E161:E165)</f>
        <v>54000</v>
      </c>
      <c r="F166" s="226"/>
      <c r="G166" s="226">
        <f>SUM(G161:G165)</f>
        <v>15</v>
      </c>
      <c r="H166" s="226">
        <f>SUM(H161:H165)</f>
        <v>3000</v>
      </c>
      <c r="I166" s="243">
        <f>SUM(I161:I165)</f>
        <v>100</v>
      </c>
      <c r="J166" s="226">
        <f>SUM(J161:J165)</f>
        <v>57060</v>
      </c>
      <c r="K166" s="306"/>
      <c r="L166" s="312">
        <f>SUM(L161:L165)</f>
        <v>38000</v>
      </c>
    </row>
    <row r="167" spans="1:12" ht="22.5" customHeight="1">
      <c r="A167" s="228" t="s">
        <v>109</v>
      </c>
      <c r="B167" s="244"/>
      <c r="C167" s="245"/>
      <c r="D167" s="205"/>
      <c r="E167" s="195"/>
      <c r="F167" s="195"/>
      <c r="G167" s="231"/>
      <c r="H167" s="195"/>
      <c r="I167" s="195"/>
      <c r="J167" s="195"/>
      <c r="K167" s="309"/>
      <c r="L167" s="313"/>
    </row>
    <row r="168" spans="1:12" ht="22.5" customHeight="1">
      <c r="A168" s="246" t="s">
        <v>110</v>
      </c>
      <c r="B168" s="247"/>
      <c r="C168" s="248" t="s">
        <v>111</v>
      </c>
      <c r="D168" s="242"/>
      <c r="E168" s="243"/>
      <c r="F168" s="226"/>
      <c r="G168" s="249"/>
      <c r="H168" s="226"/>
      <c r="I168" s="243"/>
      <c r="J168" s="226"/>
      <c r="K168" s="306"/>
      <c r="L168" s="312"/>
    </row>
    <row r="169" spans="1:12" ht="22.5" customHeight="1">
      <c r="A169" s="228" t="s">
        <v>112</v>
      </c>
      <c r="B169" s="250"/>
      <c r="C169" s="245"/>
      <c r="D169" s="205"/>
      <c r="E169" s="195"/>
      <c r="F169" s="195"/>
      <c r="G169" s="231"/>
      <c r="H169" s="195"/>
      <c r="I169" s="195"/>
      <c r="J169" s="195"/>
      <c r="K169" s="309"/>
      <c r="L169" s="313"/>
    </row>
    <row r="170" spans="1:12" ht="22.5" customHeight="1">
      <c r="A170" s="176" t="s">
        <v>113</v>
      </c>
      <c r="B170" s="199">
        <v>45440</v>
      </c>
      <c r="C170" s="251" t="s">
        <v>114</v>
      </c>
      <c r="D170" s="177" t="s">
        <v>237</v>
      </c>
      <c r="E170" s="206">
        <v>12600</v>
      </c>
      <c r="F170" s="230"/>
      <c r="G170" s="209">
        <v>0</v>
      </c>
      <c r="H170" s="197">
        <v>0</v>
      </c>
      <c r="I170" s="314">
        <v>20</v>
      </c>
      <c r="J170" s="282">
        <v>12600</v>
      </c>
      <c r="K170" s="295" t="s">
        <v>115</v>
      </c>
      <c r="L170" s="291">
        <v>12000</v>
      </c>
    </row>
    <row r="171" spans="1:12" ht="22.5" customHeight="1">
      <c r="A171" s="176" t="s">
        <v>116</v>
      </c>
      <c r="B171" s="199">
        <v>45388</v>
      </c>
      <c r="C171" s="252" t="s">
        <v>117</v>
      </c>
      <c r="D171" s="205" t="s">
        <v>256</v>
      </c>
      <c r="E171" s="206">
        <v>7000</v>
      </c>
      <c r="F171" s="195"/>
      <c r="G171" s="209">
        <v>1</v>
      </c>
      <c r="H171" s="197">
        <f t="shared" ref="H171:H172" si="40">SUM(G171*200)</f>
        <v>200</v>
      </c>
      <c r="I171" s="314">
        <v>20</v>
      </c>
      <c r="J171" s="282">
        <v>7200</v>
      </c>
      <c r="K171" s="288" t="s">
        <v>119</v>
      </c>
      <c r="L171" s="291">
        <v>7000</v>
      </c>
    </row>
    <row r="172" spans="1:12" ht="22.5" customHeight="1">
      <c r="A172" s="176" t="s">
        <v>120</v>
      </c>
      <c r="B172" s="199">
        <v>45406</v>
      </c>
      <c r="C172" s="253" t="s">
        <v>121</v>
      </c>
      <c r="D172" s="177" t="s">
        <v>257</v>
      </c>
      <c r="E172" s="209">
        <v>10000</v>
      </c>
      <c r="F172" s="254"/>
      <c r="G172" s="209">
        <v>2</v>
      </c>
      <c r="H172" s="197">
        <f t="shared" si="40"/>
        <v>400</v>
      </c>
      <c r="I172" s="315">
        <v>20</v>
      </c>
      <c r="J172" s="254">
        <v>10420</v>
      </c>
      <c r="K172" s="316" t="s">
        <v>122</v>
      </c>
      <c r="L172" s="291">
        <v>10000</v>
      </c>
    </row>
    <row r="173" spans="1:12" ht="22.5" customHeight="1">
      <c r="A173" s="246"/>
      <c r="B173" s="247"/>
      <c r="C173" s="255"/>
      <c r="D173" s="242"/>
      <c r="E173" s="256">
        <f>SUM(E170:E172)</f>
        <v>29600</v>
      </c>
      <c r="F173" s="257"/>
      <c r="G173" s="256">
        <f>SUM(G170:G172)</f>
        <v>3</v>
      </c>
      <c r="H173" s="257">
        <f>SUM(H170:H172)</f>
        <v>600</v>
      </c>
      <c r="I173" s="257">
        <f>SUM(I170:I172)</f>
        <v>60</v>
      </c>
      <c r="J173" s="257">
        <f>SUM(J170:J172)</f>
        <v>30220</v>
      </c>
      <c r="K173" s="317"/>
      <c r="L173" s="312">
        <f>SUM(L170:L172)</f>
        <v>29000</v>
      </c>
    </row>
    <row r="174" spans="1:12" ht="22.5" customHeight="1">
      <c r="B174" s="244"/>
      <c r="C174" s="80"/>
      <c r="D174" s="258"/>
      <c r="E174" s="259">
        <f>SUM(E165,E166,E168,E173)</f>
        <v>95600</v>
      </c>
      <c r="F174" s="260"/>
      <c r="G174" s="259">
        <f>SUM(G165,G166,G168,G173)</f>
        <v>24</v>
      </c>
      <c r="H174" s="259">
        <f>SUM(H165,H166,H168,H173)</f>
        <v>4800</v>
      </c>
      <c r="I174" s="318">
        <f>SUM(I165,I166,I168,I173)</f>
        <v>180</v>
      </c>
      <c r="J174" s="259">
        <f>SUM(J165,J166,J168,J173)</f>
        <v>100480</v>
      </c>
      <c r="K174" s="319"/>
      <c r="L174" s="291"/>
    </row>
    <row r="175" spans="1:12" ht="22.5" customHeight="1">
      <c r="A175" s="228" t="s">
        <v>123</v>
      </c>
      <c r="B175" s="261"/>
      <c r="C175" s="262"/>
      <c r="D175" s="15"/>
      <c r="E175" s="195"/>
      <c r="F175" s="263" t="s">
        <v>124</v>
      </c>
      <c r="G175" s="264"/>
      <c r="H175" s="195"/>
      <c r="I175" s="195"/>
      <c r="J175" s="230"/>
      <c r="K175" s="309"/>
      <c r="L175" s="284"/>
    </row>
    <row r="176" spans="1:12" ht="22.5" customHeight="1">
      <c r="A176" s="176" t="s">
        <v>125</v>
      </c>
      <c r="B176" s="199">
        <v>45377</v>
      </c>
      <c r="C176" s="265" t="s">
        <v>126</v>
      </c>
      <c r="D176" s="205" t="s">
        <v>258</v>
      </c>
      <c r="E176" s="202">
        <v>5000</v>
      </c>
      <c r="F176" s="266">
        <v>325</v>
      </c>
      <c r="G176" s="203">
        <v>2</v>
      </c>
      <c r="H176" s="266">
        <f t="shared" ref="H176:H177" si="41">SUM(G176*200)</f>
        <v>400</v>
      </c>
      <c r="I176" s="202">
        <v>20</v>
      </c>
      <c r="J176" s="282">
        <f>SUM(E176,F176,H176,I176)</f>
        <v>5745</v>
      </c>
      <c r="K176" s="319" t="s">
        <v>128</v>
      </c>
      <c r="L176" s="284">
        <v>5000</v>
      </c>
    </row>
    <row r="177" spans="1:12" ht="22.5" customHeight="1">
      <c r="A177" s="176" t="s">
        <v>129</v>
      </c>
      <c r="B177" s="199">
        <v>45413</v>
      </c>
      <c r="C177" s="265" t="s">
        <v>130</v>
      </c>
      <c r="D177" s="205" t="s">
        <v>259</v>
      </c>
      <c r="E177" s="206">
        <v>5500</v>
      </c>
      <c r="F177" s="195"/>
      <c r="G177" s="203">
        <v>1</v>
      </c>
      <c r="H177" s="266">
        <f t="shared" si="41"/>
        <v>200</v>
      </c>
      <c r="I177" s="206">
        <v>20</v>
      </c>
      <c r="J177" s="282">
        <f>SUM(E177,H177:I177)</f>
        <v>5720</v>
      </c>
      <c r="K177" s="319" t="s">
        <v>132</v>
      </c>
      <c r="L177" s="291">
        <v>5500</v>
      </c>
    </row>
    <row r="178" spans="1:12" ht="22.5" customHeight="1">
      <c r="A178" s="267" t="s">
        <v>133</v>
      </c>
      <c r="B178" s="268"/>
      <c r="C178" s="269"/>
      <c r="D178" s="242"/>
      <c r="E178" s="270">
        <f>SUM(E176:E177)</f>
        <v>10500</v>
      </c>
      <c r="F178" s="226">
        <f t="shared" ref="F178:I178" si="42">SUM(F176:F177)</f>
        <v>325</v>
      </c>
      <c r="G178" s="243">
        <f t="shared" si="42"/>
        <v>3</v>
      </c>
      <c r="H178" s="226">
        <f t="shared" si="42"/>
        <v>600</v>
      </c>
      <c r="I178" s="320">
        <f t="shared" si="42"/>
        <v>40</v>
      </c>
      <c r="J178" s="321">
        <f>SUM(F178,H178,I178,)</f>
        <v>965</v>
      </c>
      <c r="K178" s="322"/>
      <c r="L178" s="323"/>
    </row>
    <row r="179" spans="1:12" ht="22.5" customHeight="1">
      <c r="E179" s="271" t="s">
        <v>134</v>
      </c>
      <c r="F179" s="272">
        <f>SUM(F174,F178)</f>
        <v>325</v>
      </c>
      <c r="H179" s="272">
        <f>SUM(H174,H178)</f>
        <v>5400</v>
      </c>
      <c r="I179" s="324">
        <f>SUM(I174,I178)</f>
        <v>220</v>
      </c>
      <c r="J179" s="325" t="s">
        <v>135</v>
      </c>
      <c r="L179" s="326"/>
    </row>
    <row r="180" spans="1:12" ht="22.5" customHeight="1"/>
    <row r="181" spans="1:12" ht="22.5" customHeight="1">
      <c r="A181" s="185" t="s">
        <v>8</v>
      </c>
      <c r="B181" s="186" t="s">
        <v>260</v>
      </c>
      <c r="C181" s="187"/>
      <c r="D181" s="187"/>
      <c r="E181" s="187"/>
      <c r="F181" s="273"/>
      <c r="G181" s="189"/>
      <c r="H181" s="273"/>
      <c r="I181" s="187"/>
      <c r="J181" s="187"/>
      <c r="K181" s="187"/>
      <c r="L181" s="187"/>
    </row>
    <row r="182" spans="1:12" ht="22.5" customHeight="1">
      <c r="A182" s="190" t="s">
        <v>10</v>
      </c>
      <c r="B182" s="191">
        <v>45447</v>
      </c>
      <c r="C182" s="192" t="s">
        <v>261</v>
      </c>
      <c r="D182" s="193" t="s">
        <v>262</v>
      </c>
      <c r="E182" s="194">
        <v>8000</v>
      </c>
      <c r="F182" s="195">
        <f>SUM(E182*0.5)</f>
        <v>4000</v>
      </c>
      <c r="G182" s="196">
        <v>1</v>
      </c>
      <c r="H182" s="197">
        <f t="shared" ref="H182:H184" si="43">SUM(G182*200)</f>
        <v>200</v>
      </c>
      <c r="I182" s="194">
        <v>20</v>
      </c>
      <c r="J182" s="279">
        <v>8220</v>
      </c>
      <c r="K182" s="280" t="s">
        <v>13</v>
      </c>
      <c r="L182" s="281">
        <v>8000</v>
      </c>
    </row>
    <row r="183" spans="1:12" ht="22.5" customHeight="1">
      <c r="A183" s="198" t="s">
        <v>14</v>
      </c>
      <c r="B183" s="199">
        <v>45434</v>
      </c>
      <c r="C183" s="200" t="s">
        <v>263</v>
      </c>
      <c r="D183" s="201" t="s">
        <v>264</v>
      </c>
      <c r="E183" s="202">
        <v>8000</v>
      </c>
      <c r="F183" s="195">
        <f t="shared" ref="F183:F203" si="44">SUM(E183*0.5)</f>
        <v>4000</v>
      </c>
      <c r="G183" s="203">
        <v>2</v>
      </c>
      <c r="H183" s="197">
        <f t="shared" si="43"/>
        <v>400</v>
      </c>
      <c r="I183" s="206">
        <v>20</v>
      </c>
      <c r="J183" s="282">
        <v>8420</v>
      </c>
      <c r="K183" s="283" t="s">
        <v>17</v>
      </c>
      <c r="L183" s="284">
        <v>8000</v>
      </c>
    </row>
    <row r="184" spans="1:12" ht="22.5" customHeight="1">
      <c r="A184" s="190" t="s">
        <v>18</v>
      </c>
      <c r="B184" s="199">
        <v>45446</v>
      </c>
      <c r="C184" s="204" t="s">
        <v>265</v>
      </c>
      <c r="D184" s="205" t="s">
        <v>266</v>
      </c>
      <c r="E184" s="202">
        <v>8000</v>
      </c>
      <c r="F184" s="195">
        <f t="shared" si="44"/>
        <v>4000</v>
      </c>
      <c r="G184" s="203">
        <v>1</v>
      </c>
      <c r="H184" s="197">
        <f t="shared" si="43"/>
        <v>200</v>
      </c>
      <c r="I184" s="206">
        <v>20</v>
      </c>
      <c r="J184" s="282">
        <f>SUM(E184,H184:I184)</f>
        <v>8220</v>
      </c>
      <c r="K184" s="288" t="s">
        <v>21</v>
      </c>
      <c r="L184" s="284">
        <v>8000</v>
      </c>
    </row>
    <row r="185" spans="1:12" ht="22.5" customHeight="1">
      <c r="A185" s="190" t="s">
        <v>22</v>
      </c>
      <c r="B185" s="199">
        <v>45433</v>
      </c>
      <c r="C185" s="26" t="s">
        <v>267</v>
      </c>
      <c r="D185" s="205" t="s">
        <v>268</v>
      </c>
      <c r="E185" s="206">
        <v>7250</v>
      </c>
      <c r="F185" s="195">
        <f t="shared" si="44"/>
        <v>3625</v>
      </c>
      <c r="G185" s="203">
        <v>1</v>
      </c>
      <c r="H185" s="197">
        <f t="shared" ref="H185:H203" si="45">SUM(G185*200)</f>
        <v>200</v>
      </c>
      <c r="I185" s="206">
        <v>20</v>
      </c>
      <c r="J185" s="282">
        <f>SUM(E185,H185:I185)</f>
        <v>7470</v>
      </c>
      <c r="K185" s="290" t="s">
        <v>25</v>
      </c>
      <c r="L185" s="291">
        <v>5000</v>
      </c>
    </row>
    <row r="186" spans="1:12" ht="22.5" customHeight="1">
      <c r="A186" s="190" t="s">
        <v>26</v>
      </c>
      <c r="B186" s="199">
        <v>45434</v>
      </c>
      <c r="C186" s="207" t="s">
        <v>269</v>
      </c>
      <c r="D186" s="208" t="s">
        <v>270</v>
      </c>
      <c r="E186" s="209">
        <v>6000</v>
      </c>
      <c r="F186" s="195">
        <f t="shared" si="44"/>
        <v>3000</v>
      </c>
      <c r="G186" s="210">
        <v>1</v>
      </c>
      <c r="H186" s="197">
        <f t="shared" si="45"/>
        <v>200</v>
      </c>
      <c r="I186" s="209">
        <v>20</v>
      </c>
      <c r="J186" s="254">
        <v>6220</v>
      </c>
      <c r="K186" s="24" t="s">
        <v>29</v>
      </c>
      <c r="L186" s="291">
        <v>6000</v>
      </c>
    </row>
    <row r="187" spans="1:12" ht="22.5" customHeight="1">
      <c r="A187" s="190" t="s">
        <v>30</v>
      </c>
      <c r="B187" s="199">
        <v>45447</v>
      </c>
      <c r="C187" s="204" t="s">
        <v>271</v>
      </c>
      <c r="D187" s="205" t="s">
        <v>264</v>
      </c>
      <c r="E187" s="209">
        <v>6000</v>
      </c>
      <c r="F187" s="195">
        <f t="shared" si="44"/>
        <v>3000</v>
      </c>
      <c r="G187" s="210">
        <v>1</v>
      </c>
      <c r="H187" s="197">
        <f t="shared" si="45"/>
        <v>200</v>
      </c>
      <c r="I187" s="209">
        <v>20</v>
      </c>
      <c r="J187" s="254">
        <v>6200</v>
      </c>
      <c r="K187" s="294" t="s">
        <v>32</v>
      </c>
      <c r="L187" s="291">
        <v>6000</v>
      </c>
    </row>
    <row r="188" spans="1:12" ht="22.5" customHeight="1">
      <c r="A188" s="190" t="s">
        <v>33</v>
      </c>
      <c r="B188" s="199">
        <v>45443</v>
      </c>
      <c r="C188" s="204" t="s">
        <v>272</v>
      </c>
      <c r="D188" s="205" t="s">
        <v>264</v>
      </c>
      <c r="E188" s="202">
        <v>6000</v>
      </c>
      <c r="F188" s="195">
        <f t="shared" si="44"/>
        <v>3000</v>
      </c>
      <c r="G188" s="210">
        <v>1</v>
      </c>
      <c r="H188" s="197">
        <f t="shared" si="45"/>
        <v>200</v>
      </c>
      <c r="I188" s="202">
        <v>20</v>
      </c>
      <c r="J188" s="197">
        <v>6220</v>
      </c>
      <c r="K188" s="288" t="s">
        <v>17</v>
      </c>
      <c r="L188" s="284">
        <v>6000</v>
      </c>
    </row>
    <row r="189" spans="1:12" ht="22.5" customHeight="1">
      <c r="A189" s="190" t="s">
        <v>35</v>
      </c>
      <c r="B189" s="199">
        <v>45415</v>
      </c>
      <c r="C189" s="211" t="s">
        <v>273</v>
      </c>
      <c r="D189" s="177" t="s">
        <v>274</v>
      </c>
      <c r="E189" s="212">
        <v>6000</v>
      </c>
      <c r="F189" s="195">
        <f t="shared" si="44"/>
        <v>3000</v>
      </c>
      <c r="G189" s="210">
        <v>1</v>
      </c>
      <c r="H189" s="197">
        <f t="shared" si="45"/>
        <v>200</v>
      </c>
      <c r="I189" s="206">
        <v>20</v>
      </c>
      <c r="J189" s="282">
        <v>6220</v>
      </c>
      <c r="K189" s="295" t="s">
        <v>38</v>
      </c>
      <c r="L189" s="284">
        <v>6000</v>
      </c>
    </row>
    <row r="190" spans="1:12" ht="22.5" customHeight="1">
      <c r="A190" s="213" t="s">
        <v>39</v>
      </c>
      <c r="B190" s="199">
        <v>45445</v>
      </c>
      <c r="C190" s="14" t="s">
        <v>275</v>
      </c>
      <c r="D190" s="205" t="s">
        <v>276</v>
      </c>
      <c r="E190" s="202">
        <v>8000</v>
      </c>
      <c r="F190" s="195">
        <f t="shared" si="44"/>
        <v>4000</v>
      </c>
      <c r="G190" s="203">
        <v>1</v>
      </c>
      <c r="H190" s="197">
        <f t="shared" si="45"/>
        <v>200</v>
      </c>
      <c r="I190" s="202">
        <v>20</v>
      </c>
      <c r="J190" s="282">
        <f>SUM(E190,H190:I190)</f>
        <v>8220</v>
      </c>
      <c r="K190" s="288" t="s">
        <v>42</v>
      </c>
      <c r="L190" s="284">
        <v>8000</v>
      </c>
    </row>
    <row r="191" spans="1:12" ht="22.5" customHeight="1">
      <c r="A191" s="213" t="s">
        <v>43</v>
      </c>
      <c r="B191" s="199">
        <v>45445</v>
      </c>
      <c r="C191" s="204" t="s">
        <v>277</v>
      </c>
      <c r="D191" s="14" t="s">
        <v>278</v>
      </c>
      <c r="E191" s="202">
        <v>8000</v>
      </c>
      <c r="F191" s="195">
        <f t="shared" si="44"/>
        <v>4000</v>
      </c>
      <c r="G191" s="203">
        <v>2</v>
      </c>
      <c r="H191" s="197">
        <f t="shared" si="45"/>
        <v>400</v>
      </c>
      <c r="I191" s="206">
        <v>20</v>
      </c>
      <c r="J191" s="282">
        <f>SUM(E191,H191:I191)</f>
        <v>8420</v>
      </c>
      <c r="K191" s="288" t="s">
        <v>46</v>
      </c>
      <c r="L191" s="284">
        <v>8000</v>
      </c>
    </row>
    <row r="192" spans="1:12" ht="22.5" customHeight="1">
      <c r="A192" s="213" t="s">
        <v>47</v>
      </c>
      <c r="B192" s="199">
        <v>45443</v>
      </c>
      <c r="C192" s="204" t="s">
        <v>279</v>
      </c>
      <c r="D192" s="205" t="s">
        <v>280</v>
      </c>
      <c r="E192" s="202">
        <v>8000</v>
      </c>
      <c r="F192" s="195">
        <f t="shared" si="44"/>
        <v>4000</v>
      </c>
      <c r="G192" s="203">
        <v>3</v>
      </c>
      <c r="H192" s="197">
        <f t="shared" si="45"/>
        <v>600</v>
      </c>
      <c r="I192" s="202">
        <v>20</v>
      </c>
      <c r="J192" s="282">
        <v>8600</v>
      </c>
      <c r="K192" s="288" t="s">
        <v>50</v>
      </c>
      <c r="L192" s="291">
        <v>8000</v>
      </c>
    </row>
    <row r="193" spans="1:12" ht="22.5" customHeight="1">
      <c r="A193" s="213" t="s">
        <v>51</v>
      </c>
      <c r="B193" s="199">
        <v>45439</v>
      </c>
      <c r="C193" s="207" t="s">
        <v>281</v>
      </c>
      <c r="D193" s="205" t="s">
        <v>282</v>
      </c>
      <c r="E193" s="212">
        <v>8500</v>
      </c>
      <c r="F193" s="195">
        <f t="shared" si="44"/>
        <v>4250</v>
      </c>
      <c r="G193" s="210">
        <v>4</v>
      </c>
      <c r="H193" s="197">
        <f t="shared" si="45"/>
        <v>800</v>
      </c>
      <c r="I193" s="212">
        <v>20</v>
      </c>
      <c r="J193" s="282">
        <v>9300</v>
      </c>
      <c r="K193" s="295" t="s">
        <v>283</v>
      </c>
      <c r="L193" s="284">
        <v>8500</v>
      </c>
    </row>
    <row r="194" spans="1:12" ht="22.5" customHeight="1">
      <c r="A194" s="213" t="s">
        <v>55</v>
      </c>
      <c r="B194" s="199">
        <v>45437</v>
      </c>
      <c r="C194" s="204" t="s">
        <v>284</v>
      </c>
      <c r="D194" s="205" t="s">
        <v>280</v>
      </c>
      <c r="E194" s="202">
        <v>7500</v>
      </c>
      <c r="F194" s="195">
        <f t="shared" si="44"/>
        <v>3750</v>
      </c>
      <c r="G194" s="203">
        <v>2</v>
      </c>
      <c r="H194" s="197">
        <f t="shared" si="45"/>
        <v>400</v>
      </c>
      <c r="I194" s="206">
        <v>20</v>
      </c>
      <c r="J194" s="282">
        <v>7920</v>
      </c>
      <c r="K194" s="288" t="s">
        <v>57</v>
      </c>
      <c r="L194" s="284">
        <v>7500</v>
      </c>
    </row>
    <row r="195" spans="1:12" ht="22.5" customHeight="1">
      <c r="A195" s="213" t="s">
        <v>58</v>
      </c>
      <c r="B195" s="199"/>
      <c r="C195" s="204" t="s">
        <v>162</v>
      </c>
      <c r="D195" s="205"/>
      <c r="E195" s="202"/>
      <c r="F195" s="195"/>
      <c r="G195" s="203"/>
      <c r="H195" s="197"/>
      <c r="I195" s="206"/>
      <c r="J195" s="254"/>
      <c r="K195" s="296"/>
      <c r="L195" s="284"/>
    </row>
    <row r="196" spans="1:12" ht="22.5" customHeight="1">
      <c r="A196" s="213" t="s">
        <v>60</v>
      </c>
      <c r="B196" s="199">
        <v>45441</v>
      </c>
      <c r="C196" s="204" t="s">
        <v>285</v>
      </c>
      <c r="D196" s="205" t="s">
        <v>264</v>
      </c>
      <c r="E196" s="202">
        <v>6000</v>
      </c>
      <c r="F196" s="195">
        <f t="shared" si="44"/>
        <v>3000</v>
      </c>
      <c r="G196" s="203">
        <v>1</v>
      </c>
      <c r="H196" s="197">
        <f t="shared" si="45"/>
        <v>200</v>
      </c>
      <c r="I196" s="206">
        <v>20</v>
      </c>
      <c r="J196" s="282">
        <v>6220</v>
      </c>
      <c r="K196" s="288" t="s">
        <v>62</v>
      </c>
      <c r="L196" s="284">
        <v>6000</v>
      </c>
    </row>
    <row r="197" spans="1:12" ht="22.5" customHeight="1">
      <c r="A197" s="214" t="s">
        <v>63</v>
      </c>
      <c r="B197" s="199">
        <v>45438</v>
      </c>
      <c r="C197" s="204" t="s">
        <v>286</v>
      </c>
      <c r="D197" s="205" t="s">
        <v>266</v>
      </c>
      <c r="E197" s="206">
        <v>9000</v>
      </c>
      <c r="F197" s="195">
        <f t="shared" si="44"/>
        <v>4500</v>
      </c>
      <c r="G197" s="203">
        <v>3</v>
      </c>
      <c r="H197" s="197">
        <f t="shared" si="45"/>
        <v>600</v>
      </c>
      <c r="I197" s="206">
        <v>20</v>
      </c>
      <c r="J197" s="282">
        <v>9620</v>
      </c>
      <c r="K197" s="288" t="s">
        <v>287</v>
      </c>
      <c r="L197" s="291">
        <v>9000</v>
      </c>
    </row>
    <row r="198" spans="1:12" ht="22.5" customHeight="1">
      <c r="A198" s="214" t="s">
        <v>67</v>
      </c>
      <c r="B198" s="199">
        <v>45443</v>
      </c>
      <c r="C198" s="204" t="s">
        <v>288</v>
      </c>
      <c r="D198" s="205" t="s">
        <v>289</v>
      </c>
      <c r="E198" s="206">
        <v>8500</v>
      </c>
      <c r="F198" s="195">
        <f t="shared" si="44"/>
        <v>4250</v>
      </c>
      <c r="G198" s="203">
        <v>1</v>
      </c>
      <c r="H198" s="197">
        <f t="shared" si="45"/>
        <v>200</v>
      </c>
      <c r="I198" s="206">
        <v>20</v>
      </c>
      <c r="J198" s="282">
        <v>8700</v>
      </c>
      <c r="K198" s="295" t="s">
        <v>290</v>
      </c>
      <c r="L198" s="284">
        <v>8500</v>
      </c>
    </row>
    <row r="199" spans="1:12" ht="22.5" customHeight="1">
      <c r="A199" s="214" t="s">
        <v>71</v>
      </c>
      <c r="B199" s="199">
        <v>45436</v>
      </c>
      <c r="C199" s="204" t="s">
        <v>291</v>
      </c>
      <c r="D199" s="205" t="s">
        <v>292</v>
      </c>
      <c r="E199" s="206">
        <v>8000</v>
      </c>
      <c r="F199" s="195">
        <f t="shared" si="44"/>
        <v>4000</v>
      </c>
      <c r="G199" s="203">
        <v>3</v>
      </c>
      <c r="H199" s="197">
        <f t="shared" si="45"/>
        <v>600</v>
      </c>
      <c r="I199" s="206">
        <v>20</v>
      </c>
      <c r="J199" s="282">
        <v>8600</v>
      </c>
      <c r="K199" s="288" t="s">
        <v>73</v>
      </c>
      <c r="L199" s="291"/>
    </row>
    <row r="200" spans="1:12" ht="22.5" customHeight="1">
      <c r="A200" s="214" t="s">
        <v>74</v>
      </c>
      <c r="B200" s="199">
        <v>45443</v>
      </c>
      <c r="C200" s="204" t="s">
        <v>293</v>
      </c>
      <c r="D200" s="205" t="s">
        <v>264</v>
      </c>
      <c r="E200" s="206">
        <v>8000</v>
      </c>
      <c r="F200" s="195">
        <f t="shared" si="44"/>
        <v>4000</v>
      </c>
      <c r="G200" s="203">
        <v>3</v>
      </c>
      <c r="H200" s="197">
        <f t="shared" si="45"/>
        <v>600</v>
      </c>
      <c r="I200" s="206">
        <v>20</v>
      </c>
      <c r="J200" s="282">
        <f>SUM(E200,H200:I200)</f>
        <v>8620</v>
      </c>
      <c r="K200" s="288" t="s">
        <v>76</v>
      </c>
      <c r="L200" s="291">
        <v>8000</v>
      </c>
    </row>
    <row r="201" spans="1:12" ht="22.5" customHeight="1">
      <c r="A201" s="214" t="s">
        <v>77</v>
      </c>
      <c r="B201" s="199"/>
      <c r="C201" s="207" t="s">
        <v>162</v>
      </c>
      <c r="D201" s="177"/>
      <c r="E201" s="207"/>
      <c r="F201" s="195">
        <f t="shared" si="44"/>
        <v>0</v>
      </c>
      <c r="G201" s="210"/>
      <c r="H201" s="197">
        <f t="shared" si="45"/>
        <v>0</v>
      </c>
      <c r="I201" s="207"/>
      <c r="J201" s="230"/>
      <c r="K201" s="208"/>
      <c r="L201" s="302"/>
    </row>
    <row r="202" spans="1:12" ht="22.5" customHeight="1">
      <c r="A202" s="214" t="s">
        <v>81</v>
      </c>
      <c r="B202" s="199">
        <v>45441</v>
      </c>
      <c r="C202" s="207" t="s">
        <v>294</v>
      </c>
      <c r="D202" s="177" t="s">
        <v>292</v>
      </c>
      <c r="E202" s="209">
        <v>6000</v>
      </c>
      <c r="F202" s="195">
        <f t="shared" si="44"/>
        <v>3000</v>
      </c>
      <c r="G202" s="210">
        <v>1</v>
      </c>
      <c r="H202" s="197">
        <f t="shared" si="45"/>
        <v>200</v>
      </c>
      <c r="I202" s="206">
        <v>20</v>
      </c>
      <c r="J202" s="282">
        <v>6220</v>
      </c>
      <c r="K202" s="295" t="s">
        <v>83</v>
      </c>
      <c r="L202" s="291">
        <v>6000</v>
      </c>
    </row>
    <row r="203" spans="1:12" ht="22.5" customHeight="1">
      <c r="A203" s="215" t="s">
        <v>84</v>
      </c>
      <c r="B203" s="216">
        <v>45436</v>
      </c>
      <c r="C203" s="217" t="s">
        <v>295</v>
      </c>
      <c r="D203" s="218" t="s">
        <v>296</v>
      </c>
      <c r="E203" s="219">
        <v>6000</v>
      </c>
      <c r="F203" s="195">
        <f t="shared" si="44"/>
        <v>3000</v>
      </c>
      <c r="G203" s="220">
        <v>1</v>
      </c>
      <c r="H203" s="197">
        <f t="shared" si="45"/>
        <v>200</v>
      </c>
      <c r="I203" s="219">
        <v>20</v>
      </c>
      <c r="J203" s="303">
        <v>6220</v>
      </c>
      <c r="K203" s="304" t="s">
        <v>87</v>
      </c>
      <c r="L203" s="305">
        <v>6000</v>
      </c>
    </row>
    <row r="204" spans="1:12" ht="22.5" customHeight="1">
      <c r="A204" s="221"/>
      <c r="B204" s="222"/>
      <c r="C204" s="223"/>
      <c r="D204" s="224"/>
      <c r="E204" s="225">
        <f>SUM(E182:E203)</f>
        <v>146750</v>
      </c>
      <c r="F204" s="226">
        <f>SUM(F182:F203)</f>
        <v>73375</v>
      </c>
      <c r="G204" s="225">
        <f t="shared" ref="G204" si="46">SUM(G182:G203)</f>
        <v>34</v>
      </c>
      <c r="H204" s="227">
        <f t="shared" ref="H204" si="47">SUM(H182:H203)</f>
        <v>6800</v>
      </c>
      <c r="I204" s="225">
        <f t="shared" ref="I204" si="48">SUM(I182:I203)</f>
        <v>400</v>
      </c>
      <c r="J204" s="227">
        <f t="shared" ref="J204" si="49">SUM(J182:J203)</f>
        <v>153850</v>
      </c>
      <c r="K204" s="306"/>
      <c r="L204" s="307">
        <f>SUM(L182:L203)</f>
        <v>136500</v>
      </c>
    </row>
    <row r="205" spans="1:12" ht="22.5" customHeight="1">
      <c r="A205" s="228" t="s">
        <v>88</v>
      </c>
      <c r="B205" s="229"/>
      <c r="C205" s="230"/>
      <c r="D205" s="205"/>
      <c r="E205" s="195"/>
      <c r="F205" s="195"/>
      <c r="G205" s="231"/>
      <c r="H205" s="195"/>
      <c r="I205" s="195"/>
      <c r="J205" s="230"/>
      <c r="K205" s="309"/>
      <c r="L205" s="291"/>
    </row>
    <row r="206" spans="1:12" ht="22.5" customHeight="1">
      <c r="A206" s="176" t="s">
        <v>89</v>
      </c>
      <c r="B206" s="199">
        <v>45422</v>
      </c>
      <c r="C206" s="204" t="s">
        <v>90</v>
      </c>
      <c r="D206" s="205" t="s">
        <v>297</v>
      </c>
      <c r="E206" s="206">
        <v>10000</v>
      </c>
      <c r="F206" s="195"/>
      <c r="G206" s="232">
        <v>2</v>
      </c>
      <c r="H206" s="197">
        <f t="shared" ref="H206:H209" si="50">SUM(G206*200)</f>
        <v>400</v>
      </c>
      <c r="I206" s="206">
        <v>20</v>
      </c>
      <c r="J206" s="282">
        <v>10420</v>
      </c>
      <c r="K206" s="288" t="s">
        <v>92</v>
      </c>
      <c r="L206" s="291">
        <v>10000</v>
      </c>
    </row>
    <row r="207" spans="1:12" ht="22.5" customHeight="1">
      <c r="A207" s="176" t="s">
        <v>93</v>
      </c>
      <c r="B207" s="199" t="s">
        <v>298</v>
      </c>
      <c r="C207" s="207" t="s">
        <v>94</v>
      </c>
      <c r="D207" s="177" t="s">
        <v>299</v>
      </c>
      <c r="E207" s="212">
        <v>10000</v>
      </c>
      <c r="F207" s="233"/>
      <c r="G207" s="210">
        <v>2</v>
      </c>
      <c r="H207" s="197">
        <f t="shared" si="50"/>
        <v>400</v>
      </c>
      <c r="I207" s="202">
        <v>20</v>
      </c>
      <c r="J207" s="282">
        <v>10420</v>
      </c>
      <c r="K207" s="310" t="s">
        <v>96</v>
      </c>
      <c r="L207" s="284">
        <v>6000</v>
      </c>
    </row>
    <row r="208" spans="1:12" ht="22.5" customHeight="1">
      <c r="A208" s="176" t="s">
        <v>97</v>
      </c>
      <c r="B208" s="199" t="s">
        <v>300</v>
      </c>
      <c r="C208" s="204" t="s">
        <v>98</v>
      </c>
      <c r="D208" s="205" t="s">
        <v>274</v>
      </c>
      <c r="E208" s="234">
        <v>12000</v>
      </c>
      <c r="F208" s="235"/>
      <c r="G208" s="232">
        <v>2</v>
      </c>
      <c r="H208" s="197">
        <f t="shared" si="50"/>
        <v>400</v>
      </c>
      <c r="I208" s="206">
        <v>20</v>
      </c>
      <c r="J208" s="282">
        <v>12400</v>
      </c>
      <c r="K208" s="288" t="s">
        <v>99</v>
      </c>
      <c r="L208" s="291"/>
    </row>
    <row r="209" spans="1:12" ht="22.5" customHeight="1">
      <c r="A209" s="176" t="s">
        <v>100</v>
      </c>
      <c r="B209" s="199">
        <v>45443</v>
      </c>
      <c r="C209" s="236" t="s">
        <v>101</v>
      </c>
      <c r="D209" s="205" t="s">
        <v>301</v>
      </c>
      <c r="E209" s="206">
        <v>10000</v>
      </c>
      <c r="F209" s="195"/>
      <c r="G209" s="232">
        <v>3</v>
      </c>
      <c r="H209" s="197">
        <f t="shared" si="50"/>
        <v>600</v>
      </c>
      <c r="I209" s="206">
        <v>20</v>
      </c>
      <c r="J209" s="282">
        <v>10600</v>
      </c>
      <c r="K209" s="311" t="s">
        <v>103</v>
      </c>
      <c r="L209" s="291">
        <v>10000</v>
      </c>
    </row>
    <row r="210" spans="1:12" ht="22.5" customHeight="1">
      <c r="A210" s="176" t="s">
        <v>104</v>
      </c>
      <c r="B210" s="199">
        <v>45447</v>
      </c>
      <c r="C210" s="237" t="s">
        <v>105</v>
      </c>
      <c r="D210" s="205" t="s">
        <v>302</v>
      </c>
      <c r="E210" s="206">
        <v>12000</v>
      </c>
      <c r="F210" s="195"/>
      <c r="G210" s="238">
        <v>6</v>
      </c>
      <c r="H210" s="197">
        <f t="shared" ref="H210" si="51">SUM(G210*200)</f>
        <v>1200</v>
      </c>
      <c r="I210" s="219">
        <v>20</v>
      </c>
      <c r="J210" s="282">
        <v>13200</v>
      </c>
      <c r="K210" s="311" t="s">
        <v>107</v>
      </c>
      <c r="L210" s="291">
        <v>12000</v>
      </c>
    </row>
    <row r="211" spans="1:12" ht="22.5" customHeight="1">
      <c r="A211" s="239"/>
      <c r="B211" s="240"/>
      <c r="C211" s="241" t="s">
        <v>108</v>
      </c>
      <c r="D211" s="242"/>
      <c r="E211" s="243">
        <f>SUM(E206:E210)</f>
        <v>54000</v>
      </c>
      <c r="F211" s="226"/>
      <c r="G211" s="226">
        <f>SUM(G206:G210)</f>
        <v>15</v>
      </c>
      <c r="H211" s="226">
        <f>SUM(H206:H210)</f>
        <v>3000</v>
      </c>
      <c r="I211" s="243">
        <f>SUM(I206:I210)</f>
        <v>100</v>
      </c>
      <c r="J211" s="226">
        <f>SUM(J206:J210)</f>
        <v>57040</v>
      </c>
      <c r="K211" s="306"/>
      <c r="L211" s="312">
        <f>SUM(L206:L210)</f>
        <v>38000</v>
      </c>
    </row>
    <row r="212" spans="1:12" ht="22.5" customHeight="1">
      <c r="A212" s="228" t="s">
        <v>109</v>
      </c>
      <c r="B212" s="244"/>
      <c r="C212" s="245"/>
      <c r="D212" s="205"/>
      <c r="E212" s="195"/>
      <c r="F212" s="195"/>
      <c r="G212" s="231"/>
      <c r="H212" s="195"/>
      <c r="I212" s="195"/>
      <c r="J212" s="195"/>
      <c r="K212" s="309"/>
      <c r="L212" s="313"/>
    </row>
    <row r="213" spans="1:12" ht="22.5" customHeight="1">
      <c r="A213" s="246" t="s">
        <v>110</v>
      </c>
      <c r="B213" s="328">
        <v>45440</v>
      </c>
      <c r="C213" s="248" t="s">
        <v>303</v>
      </c>
      <c r="D213" s="242" t="s">
        <v>280</v>
      </c>
      <c r="E213" s="243">
        <v>30000</v>
      </c>
      <c r="F213" s="226"/>
      <c r="G213" s="249">
        <v>7</v>
      </c>
      <c r="H213" s="226">
        <v>1400</v>
      </c>
      <c r="I213" s="243">
        <v>20</v>
      </c>
      <c r="J213" s="226">
        <v>31400</v>
      </c>
      <c r="K213" s="306" t="s">
        <v>304</v>
      </c>
      <c r="L213" s="312">
        <v>30000</v>
      </c>
    </row>
    <row r="214" spans="1:12" ht="22.5" customHeight="1">
      <c r="A214" s="228" t="s">
        <v>112</v>
      </c>
      <c r="B214" s="250"/>
      <c r="C214" s="245"/>
      <c r="D214" s="205"/>
      <c r="E214" s="195"/>
      <c r="F214" s="195"/>
      <c r="G214" s="231"/>
      <c r="H214" s="195"/>
      <c r="I214" s="195"/>
      <c r="J214" s="195"/>
      <c r="K214" s="309"/>
      <c r="L214" s="313"/>
    </row>
    <row r="215" spans="1:12" ht="22.5" customHeight="1">
      <c r="A215" s="176" t="s">
        <v>113</v>
      </c>
      <c r="B215" s="199">
        <v>45478</v>
      </c>
      <c r="C215" s="251" t="s">
        <v>114</v>
      </c>
      <c r="D215" s="177" t="s">
        <v>276</v>
      </c>
      <c r="E215" s="206">
        <v>12600</v>
      </c>
      <c r="F215" s="230"/>
      <c r="G215" s="209"/>
      <c r="H215" s="197"/>
      <c r="I215" s="314">
        <v>20</v>
      </c>
      <c r="J215" s="282">
        <v>12620</v>
      </c>
      <c r="K215" s="295" t="s">
        <v>115</v>
      </c>
      <c r="L215" s="291">
        <v>12000</v>
      </c>
    </row>
    <row r="216" spans="1:12" ht="22.5" customHeight="1">
      <c r="A216" s="176" t="s">
        <v>116</v>
      </c>
      <c r="B216" s="199" t="s">
        <v>305</v>
      </c>
      <c r="C216" s="252" t="s">
        <v>117</v>
      </c>
      <c r="D216" s="205" t="s">
        <v>306</v>
      </c>
      <c r="E216" s="206">
        <v>7000</v>
      </c>
      <c r="F216" s="195"/>
      <c r="G216" s="209">
        <v>1</v>
      </c>
      <c r="H216" s="197">
        <f t="shared" ref="H216:H217" si="52">SUM(G216*200)</f>
        <v>200</v>
      </c>
      <c r="I216" s="314">
        <v>20</v>
      </c>
      <c r="J216" s="282">
        <v>7200</v>
      </c>
      <c r="K216" s="288" t="s">
        <v>119</v>
      </c>
      <c r="L216" s="291">
        <v>7000</v>
      </c>
    </row>
    <row r="217" spans="1:12" ht="22.5" customHeight="1">
      <c r="A217" s="176" t="s">
        <v>120</v>
      </c>
      <c r="B217" s="199">
        <v>45434</v>
      </c>
      <c r="C217" s="253" t="s">
        <v>121</v>
      </c>
      <c r="D217" s="177" t="s">
        <v>264</v>
      </c>
      <c r="E217" s="209">
        <v>10000</v>
      </c>
      <c r="F217" s="254"/>
      <c r="G217" s="209">
        <v>2</v>
      </c>
      <c r="H217" s="197">
        <f t="shared" si="52"/>
        <v>400</v>
      </c>
      <c r="I217" s="315">
        <v>20</v>
      </c>
      <c r="J217" s="254">
        <v>10420</v>
      </c>
      <c r="K217" s="316" t="s">
        <v>122</v>
      </c>
      <c r="L217" s="291">
        <v>10000</v>
      </c>
    </row>
    <row r="218" spans="1:12" ht="22.5" customHeight="1">
      <c r="A218" s="246"/>
      <c r="B218" s="247"/>
      <c r="C218" s="255"/>
      <c r="D218" s="242"/>
      <c r="E218" s="256">
        <f>SUM(E215:E217)</f>
        <v>29600</v>
      </c>
      <c r="F218" s="257"/>
      <c r="G218" s="256">
        <f>SUM(G215:G217)</f>
        <v>3</v>
      </c>
      <c r="H218" s="257">
        <f>SUM(H215:H217)</f>
        <v>600</v>
      </c>
      <c r="I218" s="257">
        <f>SUM(I215:I217)</f>
        <v>60</v>
      </c>
      <c r="J218" s="257">
        <f>SUM(J215:J217)</f>
        <v>30240</v>
      </c>
      <c r="K218" s="317"/>
      <c r="L218" s="312">
        <f>SUM(L215:L217)</f>
        <v>29000</v>
      </c>
    </row>
    <row r="219" spans="1:12" ht="22.5" customHeight="1">
      <c r="B219" s="244"/>
      <c r="C219" s="80"/>
      <c r="D219" s="258"/>
      <c r="E219" s="259">
        <f>SUM(E204,E211,E213,E218)</f>
        <v>260350</v>
      </c>
      <c r="F219" s="260"/>
      <c r="G219" s="259">
        <f>SUM(G204,G211,G213,G218)</f>
        <v>59</v>
      </c>
      <c r="H219" s="259">
        <f>SUM(H204,H211,H213,H218)</f>
        <v>11800</v>
      </c>
      <c r="I219" s="318">
        <f>SUM(I204,I211,I213,I218)</f>
        <v>580</v>
      </c>
      <c r="J219" s="259">
        <f>SUM(J204,J211,J213,J218)</f>
        <v>272530</v>
      </c>
      <c r="K219" s="319"/>
      <c r="L219" s="291"/>
    </row>
    <row r="220" spans="1:12" ht="22.5" customHeight="1">
      <c r="A220" s="228" t="s">
        <v>123</v>
      </c>
      <c r="B220" s="261"/>
      <c r="C220" s="262"/>
      <c r="D220" s="15"/>
      <c r="E220" s="195"/>
      <c r="F220" s="263" t="s">
        <v>124</v>
      </c>
      <c r="G220" s="264"/>
      <c r="H220" s="195"/>
      <c r="I220" s="195"/>
      <c r="J220" s="230"/>
      <c r="K220" s="309"/>
      <c r="L220" s="284"/>
    </row>
    <row r="221" spans="1:12" ht="22.5" customHeight="1">
      <c r="A221" s="176" t="s">
        <v>125</v>
      </c>
      <c r="B221" s="199">
        <v>45418</v>
      </c>
      <c r="C221" s="265" t="s">
        <v>126</v>
      </c>
      <c r="D221" s="205" t="s">
        <v>307</v>
      </c>
      <c r="E221" s="202">
        <v>5000</v>
      </c>
      <c r="F221" s="266">
        <v>325</v>
      </c>
      <c r="G221" s="203">
        <v>2</v>
      </c>
      <c r="H221" s="266">
        <f t="shared" ref="H221:H222" si="53">SUM(G221*200)</f>
        <v>400</v>
      </c>
      <c r="I221" s="202">
        <v>20</v>
      </c>
      <c r="J221" s="282">
        <f>SUM(E221,F221,H221,I221)</f>
        <v>5745</v>
      </c>
      <c r="K221" s="319" t="s">
        <v>128</v>
      </c>
      <c r="L221" s="284">
        <v>5000</v>
      </c>
    </row>
    <row r="222" spans="1:12" ht="22.5" customHeight="1">
      <c r="A222" s="176" t="s">
        <v>129</v>
      </c>
      <c r="B222" s="199">
        <v>45447</v>
      </c>
      <c r="C222" s="265" t="s">
        <v>130</v>
      </c>
      <c r="D222" s="205" t="s">
        <v>308</v>
      </c>
      <c r="E222" s="206">
        <v>5500</v>
      </c>
      <c r="F222" s="195"/>
      <c r="G222" s="203">
        <v>1</v>
      </c>
      <c r="H222" s="266">
        <f t="shared" si="53"/>
        <v>200</v>
      </c>
      <c r="I222" s="206">
        <v>20</v>
      </c>
      <c r="J222" s="282">
        <f>SUM(E222,H222:I222)</f>
        <v>5720</v>
      </c>
      <c r="K222" s="319" t="s">
        <v>132</v>
      </c>
      <c r="L222" s="291">
        <v>5500</v>
      </c>
    </row>
    <row r="223" spans="1:12" ht="22.5" customHeight="1">
      <c r="A223" s="267" t="s">
        <v>133</v>
      </c>
      <c r="B223" s="268"/>
      <c r="C223" s="269"/>
      <c r="D223" s="242"/>
      <c r="E223" s="270">
        <f>SUM(E221:E222)</f>
        <v>10500</v>
      </c>
      <c r="F223" s="226">
        <f t="shared" ref="F223:I223" si="54">SUM(F221:F222)</f>
        <v>325</v>
      </c>
      <c r="G223" s="243">
        <f t="shared" si="54"/>
        <v>3</v>
      </c>
      <c r="H223" s="226">
        <f t="shared" si="54"/>
        <v>600</v>
      </c>
      <c r="I223" s="320">
        <f t="shared" si="54"/>
        <v>40</v>
      </c>
      <c r="J223" s="321">
        <f>SUM(F223,H223,I223,)</f>
        <v>965</v>
      </c>
      <c r="K223" s="322"/>
      <c r="L223" s="323"/>
    </row>
    <row r="224" spans="1:12" ht="22.5" customHeight="1">
      <c r="E224" s="271" t="s">
        <v>134</v>
      </c>
      <c r="F224" s="272">
        <f>SUM(F219,F223)</f>
        <v>325</v>
      </c>
      <c r="H224" s="272">
        <f>SUM(H219,H223)</f>
        <v>12400</v>
      </c>
      <c r="I224" s="324">
        <f>SUM(I219,I223)</f>
        <v>620</v>
      </c>
      <c r="J224" s="325" t="s">
        <v>135</v>
      </c>
      <c r="L224" s="326"/>
    </row>
    <row r="225" spans="1:12" ht="22.5" customHeight="1"/>
    <row r="226" spans="1:12" ht="22.5" customHeight="1">
      <c r="A226" s="185" t="s">
        <v>8</v>
      </c>
      <c r="B226" s="186" t="s">
        <v>309</v>
      </c>
      <c r="C226" s="187"/>
      <c r="D226" s="187"/>
      <c r="E226" s="187"/>
      <c r="F226" s="273"/>
      <c r="G226" s="189"/>
      <c r="H226" s="273"/>
      <c r="I226" s="187"/>
      <c r="J226" s="187"/>
      <c r="K226" s="187"/>
      <c r="L226" s="187"/>
    </row>
    <row r="227" spans="1:12" ht="22.5" customHeight="1">
      <c r="A227" s="190" t="s">
        <v>10</v>
      </c>
      <c r="B227" s="191">
        <v>45473</v>
      </c>
      <c r="C227" s="192" t="s">
        <v>310</v>
      </c>
      <c r="D227" s="193" t="s">
        <v>311</v>
      </c>
      <c r="E227" s="194">
        <v>8000</v>
      </c>
      <c r="F227" s="195">
        <f>SUM(E227*0.5)</f>
        <v>4000</v>
      </c>
      <c r="G227" s="196">
        <v>1</v>
      </c>
      <c r="H227" s="197">
        <f t="shared" ref="H227:H229" si="55">SUM(G227*200)</f>
        <v>200</v>
      </c>
      <c r="I227" s="194">
        <v>20</v>
      </c>
      <c r="J227" s="279">
        <v>8220</v>
      </c>
      <c r="K227" s="280" t="s">
        <v>13</v>
      </c>
      <c r="L227" s="281">
        <v>8000</v>
      </c>
    </row>
    <row r="228" spans="1:12" ht="22.5" customHeight="1">
      <c r="A228" s="198" t="s">
        <v>14</v>
      </c>
      <c r="B228" s="199">
        <v>45472</v>
      </c>
      <c r="C228" s="200" t="s">
        <v>312</v>
      </c>
      <c r="D228" s="201" t="s">
        <v>313</v>
      </c>
      <c r="E228" s="202">
        <v>8500</v>
      </c>
      <c r="F228" s="195">
        <f t="shared" ref="F228:F248" si="56">SUM(E228*0.5)</f>
        <v>4250</v>
      </c>
      <c r="G228" s="203">
        <v>3</v>
      </c>
      <c r="H228" s="197">
        <f t="shared" si="55"/>
        <v>600</v>
      </c>
      <c r="I228" s="206">
        <v>20</v>
      </c>
      <c r="J228" s="282">
        <v>8620</v>
      </c>
      <c r="K228" s="283" t="s">
        <v>314</v>
      </c>
      <c r="L228" s="284">
        <v>8500</v>
      </c>
    </row>
    <row r="229" spans="1:12" ht="22.5" customHeight="1">
      <c r="A229" s="190" t="s">
        <v>18</v>
      </c>
      <c r="B229" s="199">
        <v>45473</v>
      </c>
      <c r="C229" s="204" t="s">
        <v>315</v>
      </c>
      <c r="D229" s="205" t="s">
        <v>316</v>
      </c>
      <c r="E229" s="202">
        <v>8000</v>
      </c>
      <c r="F229" s="195">
        <f t="shared" si="56"/>
        <v>4000</v>
      </c>
      <c r="G229" s="203">
        <v>1</v>
      </c>
      <c r="H229" s="197">
        <f t="shared" si="55"/>
        <v>200</v>
      </c>
      <c r="I229" s="206">
        <v>20</v>
      </c>
      <c r="J229" s="282">
        <f>SUM(E229,H229:I229)</f>
        <v>8220</v>
      </c>
      <c r="K229" s="288" t="s">
        <v>21</v>
      </c>
      <c r="L229" s="284">
        <v>8000</v>
      </c>
    </row>
    <row r="230" spans="1:12" ht="22.5" customHeight="1">
      <c r="A230" s="190" t="s">
        <v>22</v>
      </c>
      <c r="B230" s="199">
        <v>45448</v>
      </c>
      <c r="C230" s="26" t="s">
        <v>317</v>
      </c>
      <c r="D230" s="205" t="s">
        <v>318</v>
      </c>
      <c r="E230" s="206">
        <v>7250</v>
      </c>
      <c r="F230" s="195">
        <f t="shared" si="56"/>
        <v>3625</v>
      </c>
      <c r="G230" s="203">
        <v>1</v>
      </c>
      <c r="H230" s="197">
        <f t="shared" ref="H230:H248" si="57">SUM(G230*200)</f>
        <v>200</v>
      </c>
      <c r="I230" s="206">
        <v>20</v>
      </c>
      <c r="J230" s="282">
        <f>SUM(E230,H230:I230)</f>
        <v>7470</v>
      </c>
      <c r="K230" s="290" t="s">
        <v>25</v>
      </c>
      <c r="L230" s="291">
        <v>5000</v>
      </c>
    </row>
    <row r="231" spans="1:12" ht="22.5" customHeight="1">
      <c r="A231" s="190" t="s">
        <v>26</v>
      </c>
      <c r="B231" s="199">
        <v>45471</v>
      </c>
      <c r="C231" s="207" t="s">
        <v>319</v>
      </c>
      <c r="D231" s="208" t="s">
        <v>320</v>
      </c>
      <c r="E231" s="209">
        <v>6000</v>
      </c>
      <c r="F231" s="195">
        <f t="shared" si="56"/>
        <v>3000</v>
      </c>
      <c r="G231" s="210">
        <v>0</v>
      </c>
      <c r="H231" s="197">
        <f t="shared" si="57"/>
        <v>0</v>
      </c>
      <c r="I231" s="209">
        <v>20</v>
      </c>
      <c r="J231" s="254">
        <v>6020</v>
      </c>
      <c r="K231" s="24" t="s">
        <v>29</v>
      </c>
      <c r="L231" s="291">
        <v>6000</v>
      </c>
    </row>
    <row r="232" spans="1:12" ht="22.5" customHeight="1">
      <c r="A232" s="190" t="s">
        <v>30</v>
      </c>
      <c r="B232" s="199">
        <v>45478</v>
      </c>
      <c r="C232" s="204" t="s">
        <v>321</v>
      </c>
      <c r="D232" s="205" t="s">
        <v>322</v>
      </c>
      <c r="E232" s="209">
        <v>6000</v>
      </c>
      <c r="F232" s="195">
        <f t="shared" si="56"/>
        <v>3000</v>
      </c>
      <c r="G232" s="210">
        <v>1</v>
      </c>
      <c r="H232" s="197">
        <f t="shared" si="57"/>
        <v>200</v>
      </c>
      <c r="I232" s="209">
        <v>20</v>
      </c>
      <c r="J232" s="254">
        <v>6200</v>
      </c>
      <c r="K232" s="294" t="s">
        <v>32</v>
      </c>
      <c r="L232" s="291">
        <v>6000</v>
      </c>
    </row>
    <row r="233" spans="1:12" ht="22.5" customHeight="1">
      <c r="A233" s="190" t="s">
        <v>33</v>
      </c>
      <c r="B233" s="199">
        <v>45473</v>
      </c>
      <c r="C233" s="204" t="s">
        <v>323</v>
      </c>
      <c r="D233" s="205" t="s">
        <v>322</v>
      </c>
      <c r="E233" s="202">
        <v>6000</v>
      </c>
      <c r="F233" s="195">
        <f t="shared" si="56"/>
        <v>3000</v>
      </c>
      <c r="G233" s="210">
        <v>1</v>
      </c>
      <c r="H233" s="197">
        <f t="shared" si="57"/>
        <v>200</v>
      </c>
      <c r="I233" s="202">
        <v>20</v>
      </c>
      <c r="J233" s="197">
        <v>6220</v>
      </c>
      <c r="K233" s="288" t="s">
        <v>17</v>
      </c>
      <c r="L233" s="284">
        <v>6000</v>
      </c>
    </row>
    <row r="234" spans="1:12" ht="22.5" customHeight="1">
      <c r="A234" s="190" t="s">
        <v>35</v>
      </c>
      <c r="B234" s="199">
        <v>45448</v>
      </c>
      <c r="C234" s="211" t="s">
        <v>324</v>
      </c>
      <c r="D234" s="177" t="s">
        <v>325</v>
      </c>
      <c r="E234" s="212">
        <v>6000</v>
      </c>
      <c r="F234" s="195">
        <f t="shared" si="56"/>
        <v>3000</v>
      </c>
      <c r="G234" s="210">
        <v>1</v>
      </c>
      <c r="H234" s="197">
        <f t="shared" si="57"/>
        <v>200</v>
      </c>
      <c r="I234" s="206">
        <v>20</v>
      </c>
      <c r="J234" s="282">
        <v>6220</v>
      </c>
      <c r="K234" s="295" t="s">
        <v>38</v>
      </c>
      <c r="L234" s="284">
        <v>6000</v>
      </c>
    </row>
    <row r="235" spans="1:12" ht="22.5" customHeight="1">
      <c r="A235" s="213" t="s">
        <v>39</v>
      </c>
      <c r="B235" s="199">
        <v>45476</v>
      </c>
      <c r="C235" s="14" t="s">
        <v>326</v>
      </c>
      <c r="D235" s="205" t="s">
        <v>327</v>
      </c>
      <c r="E235" s="202">
        <v>8000</v>
      </c>
      <c r="F235" s="195">
        <f t="shared" si="56"/>
        <v>4000</v>
      </c>
      <c r="G235" s="203">
        <v>1</v>
      </c>
      <c r="H235" s="197">
        <f t="shared" si="57"/>
        <v>200</v>
      </c>
      <c r="I235" s="202">
        <v>20</v>
      </c>
      <c r="J235" s="282">
        <f>SUM(E235,H235:I235)</f>
        <v>8220</v>
      </c>
      <c r="K235" s="288" t="s">
        <v>42</v>
      </c>
      <c r="L235" s="284">
        <v>8000</v>
      </c>
    </row>
    <row r="236" spans="1:12" ht="22.5" customHeight="1">
      <c r="A236" s="213" t="s">
        <v>43</v>
      </c>
      <c r="B236" s="199">
        <v>45478</v>
      </c>
      <c r="C236" s="204" t="s">
        <v>328</v>
      </c>
      <c r="D236" s="14" t="s">
        <v>329</v>
      </c>
      <c r="E236" s="202">
        <v>8000</v>
      </c>
      <c r="F236" s="195">
        <f t="shared" si="56"/>
        <v>4000</v>
      </c>
      <c r="G236" s="203">
        <v>2</v>
      </c>
      <c r="H236" s="197">
        <f t="shared" si="57"/>
        <v>400</v>
      </c>
      <c r="I236" s="206">
        <v>20</v>
      </c>
      <c r="J236" s="282">
        <f>SUM(E236,H236:I236)</f>
        <v>8420</v>
      </c>
      <c r="K236" s="288" t="s">
        <v>46</v>
      </c>
      <c r="L236" s="284">
        <v>8000</v>
      </c>
    </row>
    <row r="237" spans="1:12" ht="22.5" customHeight="1">
      <c r="A237" s="213" t="s">
        <v>47</v>
      </c>
      <c r="B237" s="199">
        <v>45476</v>
      </c>
      <c r="C237" s="204" t="s">
        <v>330</v>
      </c>
      <c r="D237" s="205" t="s">
        <v>331</v>
      </c>
      <c r="E237" s="202">
        <v>8000</v>
      </c>
      <c r="F237" s="195">
        <f t="shared" si="56"/>
        <v>4000</v>
      </c>
      <c r="G237" s="203">
        <v>2</v>
      </c>
      <c r="H237" s="197">
        <f t="shared" si="57"/>
        <v>400</v>
      </c>
      <c r="I237" s="202">
        <v>20</v>
      </c>
      <c r="J237" s="282">
        <v>8420</v>
      </c>
      <c r="K237" s="288" t="s">
        <v>50</v>
      </c>
      <c r="L237" s="291">
        <v>8000</v>
      </c>
    </row>
    <row r="238" spans="1:12" ht="22.5" customHeight="1">
      <c r="A238" s="213" t="s">
        <v>51</v>
      </c>
      <c r="B238" s="199">
        <v>45470</v>
      </c>
      <c r="C238" s="207" t="s">
        <v>332</v>
      </c>
      <c r="D238" s="205" t="s">
        <v>333</v>
      </c>
      <c r="E238" s="212">
        <v>8500</v>
      </c>
      <c r="F238" s="195">
        <f t="shared" si="56"/>
        <v>4250</v>
      </c>
      <c r="G238" s="210">
        <v>4</v>
      </c>
      <c r="H238" s="197">
        <f t="shared" si="57"/>
        <v>800</v>
      </c>
      <c r="I238" s="212">
        <v>20</v>
      </c>
      <c r="J238" s="282">
        <v>9300</v>
      </c>
      <c r="K238" s="295" t="s">
        <v>54</v>
      </c>
      <c r="L238" s="284">
        <v>8500</v>
      </c>
    </row>
    <row r="239" spans="1:12" ht="22.5" customHeight="1">
      <c r="A239" s="213" t="s">
        <v>55</v>
      </c>
      <c r="B239" s="199">
        <v>45473</v>
      </c>
      <c r="C239" s="204" t="s">
        <v>334</v>
      </c>
      <c r="D239" s="205" t="s">
        <v>331</v>
      </c>
      <c r="E239" s="202">
        <v>7500</v>
      </c>
      <c r="F239" s="195">
        <f t="shared" si="56"/>
        <v>3750</v>
      </c>
      <c r="G239" s="203">
        <v>2</v>
      </c>
      <c r="H239" s="197">
        <f t="shared" si="57"/>
        <v>400</v>
      </c>
      <c r="I239" s="206">
        <v>20</v>
      </c>
      <c r="J239" s="282">
        <v>7920</v>
      </c>
      <c r="K239" s="288" t="s">
        <v>57</v>
      </c>
      <c r="L239" s="284">
        <v>7500</v>
      </c>
    </row>
    <row r="240" spans="1:12" ht="22.5" customHeight="1">
      <c r="A240" s="213" t="s">
        <v>58</v>
      </c>
      <c r="B240" s="199"/>
      <c r="C240" s="204" t="s">
        <v>162</v>
      </c>
      <c r="D240" s="205"/>
      <c r="E240" s="202"/>
      <c r="F240" s="195">
        <f t="shared" si="56"/>
        <v>0</v>
      </c>
      <c r="G240" s="203"/>
      <c r="H240" s="197"/>
      <c r="I240" s="206"/>
      <c r="J240" s="254"/>
      <c r="K240" s="296"/>
      <c r="L240" s="284"/>
    </row>
    <row r="241" spans="1:12" ht="22.5" customHeight="1">
      <c r="A241" s="213" t="s">
        <v>60</v>
      </c>
      <c r="B241" s="199">
        <v>45471</v>
      </c>
      <c r="C241" s="204" t="s">
        <v>335</v>
      </c>
      <c r="D241" s="205" t="s">
        <v>322</v>
      </c>
      <c r="E241" s="202">
        <v>6000</v>
      </c>
      <c r="F241" s="195">
        <f t="shared" si="56"/>
        <v>3000</v>
      </c>
      <c r="G241" s="203">
        <v>0</v>
      </c>
      <c r="H241" s="197">
        <f t="shared" si="57"/>
        <v>0</v>
      </c>
      <c r="I241" s="206">
        <v>20</v>
      </c>
      <c r="J241" s="282">
        <v>6020</v>
      </c>
      <c r="K241" s="288" t="s">
        <v>62</v>
      </c>
      <c r="L241" s="284">
        <v>6000</v>
      </c>
    </row>
    <row r="242" spans="1:12" ht="22.5" customHeight="1">
      <c r="A242" s="214" t="s">
        <v>63</v>
      </c>
      <c r="B242" s="199">
        <v>45473</v>
      </c>
      <c r="C242" s="204" t="s">
        <v>336</v>
      </c>
      <c r="D242" s="205" t="s">
        <v>316</v>
      </c>
      <c r="E242" s="206">
        <v>9000</v>
      </c>
      <c r="F242" s="195">
        <f t="shared" si="56"/>
        <v>4500</v>
      </c>
      <c r="G242" s="203">
        <v>4</v>
      </c>
      <c r="H242" s="197">
        <f t="shared" si="57"/>
        <v>800</v>
      </c>
      <c r="I242" s="206">
        <v>20</v>
      </c>
      <c r="J242" s="282">
        <v>9820</v>
      </c>
      <c r="K242" s="288" t="s">
        <v>287</v>
      </c>
      <c r="L242" s="291">
        <v>9000</v>
      </c>
    </row>
    <row r="243" spans="1:12" ht="22.5" customHeight="1">
      <c r="A243" s="214" t="s">
        <v>67</v>
      </c>
      <c r="B243" s="199">
        <v>45476</v>
      </c>
      <c r="C243" s="204" t="s">
        <v>337</v>
      </c>
      <c r="D243" s="205" t="s">
        <v>329</v>
      </c>
      <c r="E243" s="206">
        <v>8500</v>
      </c>
      <c r="F243" s="195">
        <f t="shared" si="56"/>
        <v>4250</v>
      </c>
      <c r="G243" s="203">
        <v>4</v>
      </c>
      <c r="H243" s="197">
        <f t="shared" si="57"/>
        <v>800</v>
      </c>
      <c r="I243" s="206">
        <v>20</v>
      </c>
      <c r="J243" s="282">
        <v>9300</v>
      </c>
      <c r="K243" s="295" t="s">
        <v>290</v>
      </c>
      <c r="L243" s="284">
        <v>8500</v>
      </c>
    </row>
    <row r="244" spans="1:12" ht="22.5" customHeight="1">
      <c r="A244" s="214" t="s">
        <v>71</v>
      </c>
      <c r="B244" s="199"/>
      <c r="C244" s="204" t="s">
        <v>162</v>
      </c>
      <c r="D244" s="205"/>
      <c r="E244" s="206"/>
      <c r="F244" s="195"/>
      <c r="G244" s="203"/>
      <c r="H244" s="197"/>
      <c r="I244" s="206"/>
      <c r="J244" s="282"/>
      <c r="K244" s="288"/>
      <c r="L244" s="291"/>
    </row>
    <row r="245" spans="1:12" ht="22.5" customHeight="1">
      <c r="A245" s="214" t="s">
        <v>74</v>
      </c>
      <c r="B245" s="199">
        <v>45471</v>
      </c>
      <c r="C245" s="204" t="s">
        <v>338</v>
      </c>
      <c r="D245" s="205" t="s">
        <v>322</v>
      </c>
      <c r="E245" s="206">
        <v>8000</v>
      </c>
      <c r="F245" s="195">
        <f t="shared" si="56"/>
        <v>4000</v>
      </c>
      <c r="G245" s="203">
        <v>3</v>
      </c>
      <c r="H245" s="197">
        <f t="shared" si="57"/>
        <v>600</v>
      </c>
      <c r="I245" s="206">
        <v>20</v>
      </c>
      <c r="J245" s="282">
        <f>SUM(E245,H245:I245)</f>
        <v>8620</v>
      </c>
      <c r="K245" s="288" t="s">
        <v>76</v>
      </c>
      <c r="L245" s="291">
        <v>8000</v>
      </c>
    </row>
    <row r="246" spans="1:12" ht="22.5" customHeight="1">
      <c r="A246" s="214" t="s">
        <v>77</v>
      </c>
      <c r="B246" s="199">
        <v>45444</v>
      </c>
      <c r="C246" s="207" t="s">
        <v>339</v>
      </c>
      <c r="D246" s="205" t="s">
        <v>327</v>
      </c>
      <c r="E246" s="206">
        <v>8000</v>
      </c>
      <c r="F246" s="195">
        <f t="shared" ref="F246" si="58">SUM(E246*0.5)</f>
        <v>4000</v>
      </c>
      <c r="G246" s="203">
        <v>2</v>
      </c>
      <c r="H246" s="197">
        <f t="shared" ref="H246" si="59">SUM(G246*200)</f>
        <v>400</v>
      </c>
      <c r="I246" s="206">
        <v>20</v>
      </c>
      <c r="J246" s="282">
        <f>SUM(E246,H246:I246)</f>
        <v>8420</v>
      </c>
      <c r="K246" s="288" t="s">
        <v>340</v>
      </c>
      <c r="L246" s="291">
        <v>8000</v>
      </c>
    </row>
    <row r="247" spans="1:12" ht="22.5" customHeight="1">
      <c r="A247" s="214" t="s">
        <v>81</v>
      </c>
      <c r="B247" s="199">
        <v>45471</v>
      </c>
      <c r="C247" s="207" t="s">
        <v>341</v>
      </c>
      <c r="D247" s="177" t="s">
        <v>342</v>
      </c>
      <c r="E247" s="209">
        <v>6000</v>
      </c>
      <c r="F247" s="195">
        <f t="shared" si="56"/>
        <v>3000</v>
      </c>
      <c r="G247" s="210">
        <v>0</v>
      </c>
      <c r="H247" s="197">
        <f t="shared" si="57"/>
        <v>0</v>
      </c>
      <c r="I247" s="206">
        <v>20</v>
      </c>
      <c r="J247" s="282">
        <v>6020</v>
      </c>
      <c r="K247" s="295" t="s">
        <v>83</v>
      </c>
      <c r="L247" s="291">
        <v>6000</v>
      </c>
    </row>
    <row r="248" spans="1:12" ht="22.5" customHeight="1">
      <c r="A248" s="215" t="s">
        <v>84</v>
      </c>
      <c r="B248" s="216">
        <v>45469</v>
      </c>
      <c r="C248" s="217" t="s">
        <v>343</v>
      </c>
      <c r="D248" s="218" t="s">
        <v>344</v>
      </c>
      <c r="E248" s="219">
        <v>6000</v>
      </c>
      <c r="F248" s="195">
        <f t="shared" si="56"/>
        <v>3000</v>
      </c>
      <c r="G248" s="220">
        <v>1</v>
      </c>
      <c r="H248" s="197">
        <f t="shared" si="57"/>
        <v>200</v>
      </c>
      <c r="I248" s="219">
        <v>20</v>
      </c>
      <c r="J248" s="303">
        <v>6220</v>
      </c>
      <c r="K248" s="304" t="s">
        <v>87</v>
      </c>
      <c r="L248" s="305">
        <v>6000</v>
      </c>
    </row>
    <row r="249" spans="1:12" ht="22.5" customHeight="1">
      <c r="A249" s="221"/>
      <c r="B249" s="222"/>
      <c r="C249" s="223"/>
      <c r="D249" s="224"/>
      <c r="E249" s="225">
        <f>SUM(E227:E248)</f>
        <v>147250</v>
      </c>
      <c r="F249" s="226">
        <f>SUM(F227:F248)</f>
        <v>73625</v>
      </c>
      <c r="G249" s="225">
        <f t="shared" ref="G249" si="60">SUM(G227:G248)</f>
        <v>34</v>
      </c>
      <c r="H249" s="227">
        <f t="shared" ref="H249" si="61">SUM(H227:H248)</f>
        <v>6800</v>
      </c>
      <c r="I249" s="225">
        <f t="shared" ref="I249" si="62">SUM(I227:I248)</f>
        <v>400</v>
      </c>
      <c r="J249" s="227">
        <f t="shared" ref="J249" si="63">SUM(J227:J248)</f>
        <v>153890</v>
      </c>
      <c r="K249" s="306"/>
      <c r="L249" s="307">
        <f>SUM(L227:L248)</f>
        <v>145000</v>
      </c>
    </row>
    <row r="250" spans="1:12" ht="22.5" customHeight="1">
      <c r="A250" s="228" t="s">
        <v>88</v>
      </c>
      <c r="B250" s="229"/>
      <c r="C250" s="230"/>
      <c r="D250" s="205"/>
      <c r="E250" s="195"/>
      <c r="F250" s="195"/>
      <c r="G250" s="231"/>
      <c r="H250" s="195"/>
      <c r="I250" s="195"/>
      <c r="J250" s="230"/>
      <c r="K250" s="309"/>
      <c r="L250" s="291"/>
    </row>
    <row r="251" spans="1:12" ht="22.5" customHeight="1">
      <c r="A251" s="176" t="s">
        <v>89</v>
      </c>
      <c r="B251" s="199">
        <v>45453</v>
      </c>
      <c r="C251" s="204" t="s">
        <v>90</v>
      </c>
      <c r="D251" s="205" t="s">
        <v>345</v>
      </c>
      <c r="E251" s="206">
        <v>10000</v>
      </c>
      <c r="F251" s="195"/>
      <c r="G251" s="232">
        <v>2</v>
      </c>
      <c r="H251" s="197">
        <f t="shared" ref="H251:H254" si="64">SUM(G251*200)</f>
        <v>400</v>
      </c>
      <c r="I251" s="206">
        <v>20</v>
      </c>
      <c r="J251" s="282">
        <v>10420</v>
      </c>
      <c r="K251" s="288" t="s">
        <v>92</v>
      </c>
      <c r="L251" s="291">
        <v>10000</v>
      </c>
    </row>
    <row r="252" spans="1:12" ht="22.5" customHeight="1">
      <c r="A252" s="176" t="s">
        <v>93</v>
      </c>
      <c r="B252" s="199">
        <v>45473</v>
      </c>
      <c r="C252" s="207" t="s">
        <v>94</v>
      </c>
      <c r="D252" s="177" t="s">
        <v>346</v>
      </c>
      <c r="E252" s="212">
        <v>10000</v>
      </c>
      <c r="F252" s="233"/>
      <c r="G252" s="210">
        <v>2</v>
      </c>
      <c r="H252" s="197">
        <f t="shared" si="64"/>
        <v>400</v>
      </c>
      <c r="I252" s="202">
        <v>20</v>
      </c>
      <c r="J252" s="282">
        <v>10420</v>
      </c>
      <c r="K252" s="310" t="s">
        <v>96</v>
      </c>
      <c r="L252" s="284">
        <v>6000</v>
      </c>
    </row>
    <row r="253" spans="1:12" ht="22.5" customHeight="1">
      <c r="A253" s="176" t="s">
        <v>97</v>
      </c>
      <c r="B253" s="199">
        <v>45456</v>
      </c>
      <c r="C253" s="204" t="s">
        <v>98</v>
      </c>
      <c r="D253" s="205" t="s">
        <v>325</v>
      </c>
      <c r="E253" s="234">
        <v>12000</v>
      </c>
      <c r="F253" s="235"/>
      <c r="G253" s="232">
        <v>2</v>
      </c>
      <c r="H253" s="197">
        <f t="shared" si="64"/>
        <v>400</v>
      </c>
      <c r="I253" s="206">
        <v>20</v>
      </c>
      <c r="J253" s="282">
        <v>12400</v>
      </c>
      <c r="K253" s="288" t="s">
        <v>99</v>
      </c>
      <c r="L253" s="291"/>
    </row>
    <row r="254" spans="1:12" ht="22.5" customHeight="1">
      <c r="A254" s="176" t="s">
        <v>100</v>
      </c>
      <c r="B254" s="199">
        <v>45473</v>
      </c>
      <c r="C254" s="236" t="s">
        <v>101</v>
      </c>
      <c r="D254" s="205" t="s">
        <v>347</v>
      </c>
      <c r="E254" s="206">
        <v>10000</v>
      </c>
      <c r="F254" s="195"/>
      <c r="G254" s="232">
        <v>2</v>
      </c>
      <c r="H254" s="197">
        <f t="shared" si="64"/>
        <v>400</v>
      </c>
      <c r="I254" s="206">
        <v>20</v>
      </c>
      <c r="J254" s="282">
        <v>10420</v>
      </c>
      <c r="K254" s="311" t="s">
        <v>103</v>
      </c>
      <c r="L254" s="291">
        <v>10000</v>
      </c>
    </row>
    <row r="255" spans="1:12" ht="22.5" customHeight="1">
      <c r="A255" s="176" t="s">
        <v>104</v>
      </c>
      <c r="B255" s="199">
        <v>45480</v>
      </c>
      <c r="C255" s="237" t="s">
        <v>105</v>
      </c>
      <c r="D255" s="205" t="s">
        <v>348</v>
      </c>
      <c r="E255" s="206">
        <v>12000</v>
      </c>
      <c r="F255" s="195"/>
      <c r="G255" s="238">
        <v>3</v>
      </c>
      <c r="H255" s="197">
        <f t="shared" ref="H255" si="65">SUM(G255*200)</f>
        <v>600</v>
      </c>
      <c r="I255" s="219">
        <v>20</v>
      </c>
      <c r="J255" s="282">
        <v>12620</v>
      </c>
      <c r="K255" s="311" t="s">
        <v>107</v>
      </c>
      <c r="L255" s="291">
        <v>12000</v>
      </c>
    </row>
    <row r="256" spans="1:12" ht="22.5" customHeight="1">
      <c r="A256" s="239"/>
      <c r="B256" s="240"/>
      <c r="C256" s="241" t="s">
        <v>108</v>
      </c>
      <c r="D256" s="242"/>
      <c r="E256" s="243">
        <f>SUM(E251:E255)</f>
        <v>54000</v>
      </c>
      <c r="F256" s="226"/>
      <c r="G256" s="226">
        <f>SUM(G251:G255)</f>
        <v>11</v>
      </c>
      <c r="H256" s="226">
        <f>SUM(H251:H255)</f>
        <v>2200</v>
      </c>
      <c r="I256" s="243">
        <f>SUM(I251:I255)</f>
        <v>100</v>
      </c>
      <c r="J256" s="226">
        <f>SUM(J251:J255)</f>
        <v>56280</v>
      </c>
      <c r="K256" s="306"/>
      <c r="L256" s="312">
        <f>SUM(L251:L255)</f>
        <v>38000</v>
      </c>
    </row>
    <row r="257" spans="1:12" ht="22.5" customHeight="1">
      <c r="A257" s="228" t="s">
        <v>109</v>
      </c>
      <c r="B257" s="244"/>
      <c r="C257" s="245"/>
      <c r="D257" s="205"/>
      <c r="E257" s="195"/>
      <c r="F257" s="195"/>
      <c r="G257" s="231"/>
      <c r="H257" s="195"/>
      <c r="I257" s="195"/>
      <c r="J257" s="195"/>
      <c r="K257" s="309"/>
      <c r="L257" s="313"/>
    </row>
    <row r="258" spans="1:12" ht="22.5" customHeight="1">
      <c r="A258" s="246" t="s">
        <v>110</v>
      </c>
      <c r="B258" s="329">
        <v>45473</v>
      </c>
      <c r="C258" s="248" t="s">
        <v>303</v>
      </c>
      <c r="D258" s="242" t="s">
        <v>349</v>
      </c>
      <c r="E258" s="243">
        <v>30000</v>
      </c>
      <c r="F258" s="226"/>
      <c r="G258" s="249">
        <v>7</v>
      </c>
      <c r="H258" s="226">
        <v>1400</v>
      </c>
      <c r="I258" s="243">
        <v>20</v>
      </c>
      <c r="J258" s="226">
        <v>31400</v>
      </c>
      <c r="K258" s="306" t="s">
        <v>304</v>
      </c>
      <c r="L258" s="312">
        <v>30000</v>
      </c>
    </row>
    <row r="259" spans="1:12" ht="22.5" customHeight="1">
      <c r="A259" s="228" t="s">
        <v>112</v>
      </c>
      <c r="B259" s="250"/>
      <c r="C259" s="245"/>
      <c r="D259" s="205"/>
      <c r="E259" s="195"/>
      <c r="F259" s="195"/>
      <c r="G259" s="231"/>
      <c r="H259" s="195"/>
      <c r="I259" s="195"/>
      <c r="J259" s="195"/>
      <c r="K259" s="309"/>
      <c r="L259" s="313"/>
    </row>
    <row r="260" spans="1:12" ht="22.5" customHeight="1">
      <c r="A260" s="176" t="s">
        <v>113</v>
      </c>
      <c r="B260" s="199">
        <v>45478</v>
      </c>
      <c r="C260" s="251" t="s">
        <v>114</v>
      </c>
      <c r="D260" s="177" t="s">
        <v>327</v>
      </c>
      <c r="E260" s="206">
        <v>12600</v>
      </c>
      <c r="F260" s="230"/>
      <c r="G260" s="209">
        <v>2</v>
      </c>
      <c r="H260" s="197">
        <f t="shared" ref="H260:H262" si="66">SUM(G260*200)</f>
        <v>400</v>
      </c>
      <c r="I260" s="314">
        <v>20</v>
      </c>
      <c r="J260" s="282">
        <v>13020</v>
      </c>
      <c r="K260" s="295" t="s">
        <v>115</v>
      </c>
      <c r="L260" s="291">
        <v>12000</v>
      </c>
    </row>
    <row r="261" spans="1:12" ht="22.5" customHeight="1">
      <c r="A261" s="176" t="s">
        <v>116</v>
      </c>
      <c r="B261" s="199">
        <v>45448</v>
      </c>
      <c r="C261" s="252" t="s">
        <v>117</v>
      </c>
      <c r="D261" s="205" t="s">
        <v>350</v>
      </c>
      <c r="E261" s="206">
        <v>7000</v>
      </c>
      <c r="F261" s="195"/>
      <c r="G261" s="209">
        <v>1</v>
      </c>
      <c r="H261" s="197">
        <f t="shared" si="66"/>
        <v>200</v>
      </c>
      <c r="I261" s="314">
        <v>20</v>
      </c>
      <c r="J261" s="282">
        <v>7200</v>
      </c>
      <c r="K261" s="288" t="s">
        <v>119</v>
      </c>
      <c r="L261" s="291">
        <v>7000</v>
      </c>
    </row>
    <row r="262" spans="1:12" ht="22.5" customHeight="1">
      <c r="A262" s="176" t="s">
        <v>120</v>
      </c>
      <c r="B262" s="199">
        <v>45453</v>
      </c>
      <c r="C262" s="253" t="s">
        <v>121</v>
      </c>
      <c r="D262" s="177" t="s">
        <v>322</v>
      </c>
      <c r="E262" s="209">
        <v>10000</v>
      </c>
      <c r="F262" s="254"/>
      <c r="G262" s="209">
        <v>0</v>
      </c>
      <c r="H262" s="197">
        <f t="shared" si="66"/>
        <v>0</v>
      </c>
      <c r="I262" s="315">
        <v>20</v>
      </c>
      <c r="J262" s="254">
        <v>10020</v>
      </c>
      <c r="K262" s="316" t="s">
        <v>122</v>
      </c>
      <c r="L262" s="291">
        <v>10000</v>
      </c>
    </row>
    <row r="263" spans="1:12" ht="22.5" customHeight="1">
      <c r="A263" s="246"/>
      <c r="B263" s="247"/>
      <c r="C263" s="255"/>
      <c r="D263" s="242"/>
      <c r="E263" s="256">
        <f>SUM(E260:E262)</f>
        <v>29600</v>
      </c>
      <c r="F263" s="257"/>
      <c r="G263" s="256">
        <f>SUM(G260:G262)</f>
        <v>3</v>
      </c>
      <c r="H263" s="257">
        <f>SUM(H260:H262)</f>
        <v>600</v>
      </c>
      <c r="I263" s="257">
        <f>SUM(I260:I262)</f>
        <v>60</v>
      </c>
      <c r="J263" s="257">
        <f>SUM(J260:J262)</f>
        <v>30240</v>
      </c>
      <c r="K263" s="317"/>
      <c r="L263" s="312">
        <f>SUM(L260:L262)</f>
        <v>29000</v>
      </c>
    </row>
    <row r="264" spans="1:12" ht="22.5" customHeight="1">
      <c r="B264" s="244"/>
      <c r="C264" s="80"/>
      <c r="D264" s="258"/>
      <c r="E264" s="259">
        <f>SUM(E249,E256,E258,E263)</f>
        <v>260850</v>
      </c>
      <c r="F264" s="260"/>
      <c r="G264" s="259">
        <f>SUM(G249,G256,G258,G263)</f>
        <v>55</v>
      </c>
      <c r="H264" s="259">
        <f>SUM(H249,H256,H258,H263)</f>
        <v>11000</v>
      </c>
      <c r="I264" s="318">
        <f>SUM(I249,I256,I258,I263)</f>
        <v>580</v>
      </c>
      <c r="J264" s="259">
        <f>SUM(J249,J256,J258,J263)</f>
        <v>271810</v>
      </c>
      <c r="K264" s="319"/>
      <c r="L264" s="291"/>
    </row>
    <row r="265" spans="1:12" ht="22.5" customHeight="1">
      <c r="A265" s="228" t="s">
        <v>123</v>
      </c>
      <c r="B265" s="261"/>
      <c r="C265" s="262"/>
      <c r="D265" s="15"/>
      <c r="E265" s="195"/>
      <c r="F265" s="263" t="s">
        <v>124</v>
      </c>
      <c r="G265" s="264"/>
      <c r="H265" s="195"/>
      <c r="I265" s="195"/>
      <c r="J265" s="230"/>
      <c r="K265" s="309"/>
      <c r="L265" s="284"/>
    </row>
    <row r="266" spans="1:12" ht="22.5" customHeight="1">
      <c r="A266" s="176" t="s">
        <v>125</v>
      </c>
      <c r="B266" s="199">
        <v>45440</v>
      </c>
      <c r="C266" s="265" t="s">
        <v>126</v>
      </c>
      <c r="D266" s="205" t="s">
        <v>351</v>
      </c>
      <c r="E266" s="202">
        <v>5000</v>
      </c>
      <c r="F266" s="266">
        <v>325</v>
      </c>
      <c r="G266" s="203">
        <v>2</v>
      </c>
      <c r="H266" s="266">
        <f t="shared" ref="H266:H267" si="67">SUM(G266*200)</f>
        <v>400</v>
      </c>
      <c r="I266" s="202">
        <v>20</v>
      </c>
      <c r="J266" s="282">
        <f>SUM(E266,F266,H266,I266)</f>
        <v>5745</v>
      </c>
      <c r="K266" s="319" t="s">
        <v>128</v>
      </c>
      <c r="L266" s="284">
        <v>5000</v>
      </c>
    </row>
    <row r="267" spans="1:12" ht="22.5" customHeight="1">
      <c r="A267" s="176" t="s">
        <v>129</v>
      </c>
      <c r="B267" s="199">
        <v>45479</v>
      </c>
      <c r="C267" s="265" t="s">
        <v>130</v>
      </c>
      <c r="D267" s="205" t="s">
        <v>352</v>
      </c>
      <c r="E267" s="206">
        <v>5500</v>
      </c>
      <c r="F267" s="195"/>
      <c r="G267" s="203">
        <v>1</v>
      </c>
      <c r="H267" s="266">
        <f t="shared" si="67"/>
        <v>200</v>
      </c>
      <c r="I267" s="206">
        <v>20</v>
      </c>
      <c r="J267" s="282">
        <f>SUM(E267,H267:I267)</f>
        <v>5720</v>
      </c>
      <c r="K267" s="319" t="s">
        <v>132</v>
      </c>
      <c r="L267" s="291">
        <v>5500</v>
      </c>
    </row>
    <row r="268" spans="1:12" ht="22.5" customHeight="1">
      <c r="A268" s="267" t="s">
        <v>133</v>
      </c>
      <c r="B268" s="268"/>
      <c r="C268" s="269"/>
      <c r="D268" s="242"/>
      <c r="E268" s="270">
        <f>SUM(E266:E267)</f>
        <v>10500</v>
      </c>
      <c r="F268" s="226">
        <f t="shared" ref="F268:I268" si="68">SUM(F266:F267)</f>
        <v>325</v>
      </c>
      <c r="G268" s="243">
        <f t="shared" si="68"/>
        <v>3</v>
      </c>
      <c r="H268" s="226">
        <f t="shared" si="68"/>
        <v>600</v>
      </c>
      <c r="I268" s="320">
        <f t="shared" si="68"/>
        <v>40</v>
      </c>
      <c r="J268" s="321">
        <f>SUM(F268,H268,I268,)</f>
        <v>965</v>
      </c>
      <c r="K268" s="322"/>
      <c r="L268" s="323"/>
    </row>
    <row r="269" spans="1:12" ht="22.5" customHeight="1">
      <c r="E269" s="271" t="s">
        <v>134</v>
      </c>
      <c r="F269" s="272">
        <f>SUM(F264,F268)</f>
        <v>325</v>
      </c>
      <c r="H269" s="272">
        <f>SUM(H264,H268)</f>
        <v>11600</v>
      </c>
      <c r="I269" s="324">
        <f>SUM(I264,I268)</f>
        <v>620</v>
      </c>
      <c r="J269" s="325" t="s">
        <v>135</v>
      </c>
      <c r="L269" s="326"/>
    </row>
    <row r="270" spans="1:12" ht="22.5" customHeight="1"/>
    <row r="271" spans="1:12" ht="22.5" customHeight="1">
      <c r="A271" s="185" t="s">
        <v>8</v>
      </c>
      <c r="B271" s="186" t="s">
        <v>353</v>
      </c>
      <c r="C271" s="187"/>
      <c r="D271" s="187"/>
      <c r="E271" s="187"/>
      <c r="F271" s="273"/>
      <c r="G271" s="189"/>
      <c r="H271" s="273"/>
      <c r="I271" s="187"/>
      <c r="J271" s="187"/>
      <c r="K271" s="187"/>
      <c r="L271" s="187"/>
    </row>
    <row r="272" spans="1:12" ht="22.5" customHeight="1">
      <c r="A272" s="190" t="s">
        <v>10</v>
      </c>
      <c r="B272" s="191">
        <v>45504</v>
      </c>
      <c r="C272" s="192" t="s">
        <v>354</v>
      </c>
      <c r="D272" s="193" t="s">
        <v>355</v>
      </c>
      <c r="E272" s="194">
        <v>8000</v>
      </c>
      <c r="F272" s="195">
        <f>SUM(E272*0.5)</f>
        <v>4000</v>
      </c>
      <c r="G272" s="196">
        <v>1</v>
      </c>
      <c r="H272" s="197">
        <f t="shared" ref="H272:H274" si="69">SUM(G272*200)</f>
        <v>200</v>
      </c>
      <c r="I272" s="194">
        <v>20</v>
      </c>
      <c r="J272" s="279">
        <v>8220</v>
      </c>
      <c r="K272" s="280" t="s">
        <v>13</v>
      </c>
      <c r="L272" s="281">
        <v>8000</v>
      </c>
    </row>
    <row r="273" spans="1:17" ht="22.5" customHeight="1">
      <c r="A273" s="198" t="s">
        <v>14</v>
      </c>
      <c r="B273" s="199">
        <v>45500</v>
      </c>
      <c r="C273" s="200" t="s">
        <v>312</v>
      </c>
      <c r="D273" s="201" t="s">
        <v>356</v>
      </c>
      <c r="E273" s="202">
        <v>8500</v>
      </c>
      <c r="F273" s="195">
        <f t="shared" ref="F273" si="70">SUM(E273*0.5)</f>
        <v>4250</v>
      </c>
      <c r="G273" s="203">
        <v>3</v>
      </c>
      <c r="H273" s="197">
        <f t="shared" si="69"/>
        <v>600</v>
      </c>
      <c r="I273" s="206">
        <v>20</v>
      </c>
      <c r="J273" s="282">
        <v>8620</v>
      </c>
      <c r="K273" s="283" t="s">
        <v>314</v>
      </c>
      <c r="L273" s="284">
        <v>8500</v>
      </c>
      <c r="M273"/>
      <c r="N273" s="177"/>
      <c r="O273" s="178"/>
      <c r="Q273"/>
    </row>
    <row r="274" spans="1:17" ht="22.5" customHeight="1">
      <c r="A274" s="190" t="s">
        <v>18</v>
      </c>
      <c r="B274" s="199">
        <v>45499</v>
      </c>
      <c r="C274" s="204" t="s">
        <v>357</v>
      </c>
      <c r="D274" s="205" t="s">
        <v>358</v>
      </c>
      <c r="E274" s="202">
        <v>8000</v>
      </c>
      <c r="F274" s="195">
        <f t="shared" ref="F274:F293" si="71">SUM(E274*0.5)</f>
        <v>4000</v>
      </c>
      <c r="G274" s="203">
        <v>1</v>
      </c>
      <c r="H274" s="197">
        <f t="shared" si="69"/>
        <v>200</v>
      </c>
      <c r="I274" s="206">
        <v>20</v>
      </c>
      <c r="J274" s="282">
        <f>SUM(E274,H274:I274)</f>
        <v>8220</v>
      </c>
      <c r="K274" s="288" t="s">
        <v>21</v>
      </c>
      <c r="L274" s="284">
        <v>8000</v>
      </c>
    </row>
    <row r="275" spans="1:17" ht="22.5" customHeight="1">
      <c r="A275" s="190" t="s">
        <v>22</v>
      </c>
      <c r="B275" s="199">
        <v>45484</v>
      </c>
      <c r="C275" s="26" t="s">
        <v>359</v>
      </c>
      <c r="D275" s="205" t="s">
        <v>360</v>
      </c>
      <c r="E275" s="206">
        <v>7250</v>
      </c>
      <c r="F275" s="195">
        <f t="shared" si="71"/>
        <v>3625</v>
      </c>
      <c r="G275" s="203">
        <v>1</v>
      </c>
      <c r="H275" s="197">
        <f t="shared" ref="H275:H293" si="72">SUM(G275*200)</f>
        <v>200</v>
      </c>
      <c r="I275" s="206">
        <v>20</v>
      </c>
      <c r="J275" s="282">
        <f>SUM(E275,H275:I275)</f>
        <v>7470</v>
      </c>
      <c r="K275" s="290" t="s">
        <v>25</v>
      </c>
      <c r="L275" s="291">
        <v>5000</v>
      </c>
    </row>
    <row r="276" spans="1:17" ht="22.5" customHeight="1">
      <c r="A276" s="190" t="s">
        <v>26</v>
      </c>
      <c r="B276" s="199">
        <v>45504</v>
      </c>
      <c r="C276" s="207" t="s">
        <v>361</v>
      </c>
      <c r="D276" s="208" t="s">
        <v>362</v>
      </c>
      <c r="E276" s="209">
        <v>6000</v>
      </c>
      <c r="F276" s="195">
        <f t="shared" si="71"/>
        <v>3000</v>
      </c>
      <c r="G276" s="210">
        <v>0</v>
      </c>
      <c r="H276" s="197">
        <f t="shared" si="72"/>
        <v>0</v>
      </c>
      <c r="I276" s="209">
        <v>20</v>
      </c>
      <c r="J276" s="254">
        <v>6020</v>
      </c>
      <c r="K276" s="24" t="s">
        <v>29</v>
      </c>
      <c r="L276" s="291">
        <v>6000</v>
      </c>
    </row>
    <row r="277" spans="1:17" ht="22.5" customHeight="1">
      <c r="A277" s="190" t="s">
        <v>30</v>
      </c>
      <c r="B277" s="199"/>
      <c r="C277" s="204" t="s">
        <v>162</v>
      </c>
      <c r="D277" s="205"/>
      <c r="E277" s="209"/>
      <c r="F277" s="195"/>
      <c r="G277" s="210"/>
      <c r="H277" s="197"/>
      <c r="I277" s="209"/>
      <c r="J277" s="254"/>
      <c r="K277" s="294"/>
      <c r="L277" s="291"/>
    </row>
    <row r="278" spans="1:17" ht="22.5" customHeight="1">
      <c r="A278" s="190" t="s">
        <v>33</v>
      </c>
      <c r="B278" s="199">
        <v>45504</v>
      </c>
      <c r="C278" s="204" t="s">
        <v>363</v>
      </c>
      <c r="D278" s="205" t="s">
        <v>364</v>
      </c>
      <c r="E278" s="202">
        <v>6000</v>
      </c>
      <c r="F278" s="195">
        <f t="shared" si="71"/>
        <v>3000</v>
      </c>
      <c r="G278" s="210">
        <v>1</v>
      </c>
      <c r="H278" s="197">
        <f t="shared" si="72"/>
        <v>200</v>
      </c>
      <c r="I278" s="202">
        <v>20</v>
      </c>
      <c r="J278" s="197">
        <v>6220</v>
      </c>
      <c r="K278" s="288" t="s">
        <v>17</v>
      </c>
      <c r="L278" s="284">
        <v>6000</v>
      </c>
    </row>
    <row r="279" spans="1:17" ht="22.5" customHeight="1">
      <c r="A279" s="190" t="s">
        <v>35</v>
      </c>
      <c r="B279" s="199">
        <v>45477</v>
      </c>
      <c r="C279" s="211" t="s">
        <v>365</v>
      </c>
      <c r="D279" s="177" t="s">
        <v>366</v>
      </c>
      <c r="E279" s="212">
        <v>6000</v>
      </c>
      <c r="F279" s="195">
        <f t="shared" si="71"/>
        <v>3000</v>
      </c>
      <c r="G279" s="210">
        <v>1</v>
      </c>
      <c r="H279" s="197">
        <f t="shared" si="72"/>
        <v>200</v>
      </c>
      <c r="I279" s="206">
        <v>20</v>
      </c>
      <c r="J279" s="282">
        <v>6220</v>
      </c>
      <c r="K279" s="295" t="s">
        <v>38</v>
      </c>
      <c r="L279" s="284">
        <v>6000</v>
      </c>
    </row>
    <row r="280" spans="1:17" ht="22.5" customHeight="1">
      <c r="A280" s="213" t="s">
        <v>39</v>
      </c>
      <c r="B280" s="199">
        <v>45504</v>
      </c>
      <c r="C280" s="14" t="s">
        <v>367</v>
      </c>
      <c r="D280" s="205" t="s">
        <v>368</v>
      </c>
      <c r="E280" s="202">
        <v>8000</v>
      </c>
      <c r="F280" s="195">
        <f t="shared" si="71"/>
        <v>4000</v>
      </c>
      <c r="G280" s="203">
        <v>1</v>
      </c>
      <c r="H280" s="197">
        <f t="shared" si="72"/>
        <v>200</v>
      </c>
      <c r="I280" s="202">
        <v>20</v>
      </c>
      <c r="J280" s="282">
        <f>SUM(E280,H280:I280)</f>
        <v>8220</v>
      </c>
      <c r="K280" s="288" t="s">
        <v>42</v>
      </c>
      <c r="L280" s="284">
        <v>8000</v>
      </c>
    </row>
    <row r="281" spans="1:17" ht="22.5" customHeight="1">
      <c r="A281" s="213" t="s">
        <v>43</v>
      </c>
      <c r="B281" s="199">
        <v>45504</v>
      </c>
      <c r="C281" s="204" t="s">
        <v>369</v>
      </c>
      <c r="D281" s="14" t="s">
        <v>370</v>
      </c>
      <c r="E281" s="202">
        <v>8000</v>
      </c>
      <c r="F281" s="195">
        <f t="shared" si="71"/>
        <v>4000</v>
      </c>
      <c r="G281" s="203">
        <v>2</v>
      </c>
      <c r="H281" s="197">
        <f t="shared" si="72"/>
        <v>400</v>
      </c>
      <c r="I281" s="206">
        <v>20</v>
      </c>
      <c r="J281" s="282">
        <f>SUM(E281,H281:I281)</f>
        <v>8420</v>
      </c>
      <c r="K281" s="288" t="s">
        <v>46</v>
      </c>
      <c r="L281" s="284">
        <v>8000</v>
      </c>
    </row>
    <row r="282" spans="1:17" ht="22.5" customHeight="1">
      <c r="A282" s="213" t="s">
        <v>47</v>
      </c>
      <c r="B282" s="199">
        <v>45504</v>
      </c>
      <c r="C282" s="204" t="s">
        <v>371</v>
      </c>
      <c r="D282" s="205" t="s">
        <v>372</v>
      </c>
      <c r="E282" s="202">
        <v>8000</v>
      </c>
      <c r="F282" s="195">
        <f t="shared" si="71"/>
        <v>4000</v>
      </c>
      <c r="G282" s="203">
        <v>2</v>
      </c>
      <c r="H282" s="197">
        <f t="shared" si="72"/>
        <v>400</v>
      </c>
      <c r="I282" s="202">
        <v>20</v>
      </c>
      <c r="J282" s="282">
        <v>8420</v>
      </c>
      <c r="K282" s="288" t="s">
        <v>50</v>
      </c>
      <c r="L282" s="291">
        <v>8000</v>
      </c>
    </row>
    <row r="283" spans="1:17" ht="22.5" customHeight="1">
      <c r="A283" s="213" t="s">
        <v>51</v>
      </c>
      <c r="B283" s="199">
        <v>45502</v>
      </c>
      <c r="C283" s="207" t="s">
        <v>373</v>
      </c>
      <c r="D283" s="205" t="s">
        <v>374</v>
      </c>
      <c r="E283" s="212">
        <v>8500</v>
      </c>
      <c r="F283" s="195">
        <f t="shared" si="71"/>
        <v>4250</v>
      </c>
      <c r="G283" s="210">
        <v>4</v>
      </c>
      <c r="H283" s="197">
        <f t="shared" si="72"/>
        <v>800</v>
      </c>
      <c r="I283" s="212">
        <v>20</v>
      </c>
      <c r="J283" s="282">
        <v>9300</v>
      </c>
      <c r="K283" s="295" t="s">
        <v>54</v>
      </c>
      <c r="L283" s="284">
        <v>8500</v>
      </c>
    </row>
    <row r="284" spans="1:17" ht="22.5" customHeight="1">
      <c r="A284" s="213" t="s">
        <v>55</v>
      </c>
      <c r="B284" s="199">
        <v>45502</v>
      </c>
      <c r="C284" s="204" t="s">
        <v>375</v>
      </c>
      <c r="D284" s="205" t="s">
        <v>372</v>
      </c>
      <c r="E284" s="202">
        <v>7500</v>
      </c>
      <c r="F284" s="195">
        <f t="shared" si="71"/>
        <v>3750</v>
      </c>
      <c r="G284" s="203">
        <v>2</v>
      </c>
      <c r="H284" s="197">
        <f t="shared" si="72"/>
        <v>400</v>
      </c>
      <c r="I284" s="206">
        <v>20</v>
      </c>
      <c r="J284" s="282">
        <v>7920</v>
      </c>
      <c r="K284" s="288" t="s">
        <v>57</v>
      </c>
      <c r="L284" s="284">
        <v>7500</v>
      </c>
    </row>
    <row r="285" spans="1:17" ht="22.5" customHeight="1">
      <c r="A285" s="213" t="s">
        <v>58</v>
      </c>
      <c r="B285" s="199">
        <v>45483</v>
      </c>
      <c r="C285" s="204" t="s">
        <v>376</v>
      </c>
      <c r="D285" s="205" t="s">
        <v>377</v>
      </c>
      <c r="E285" s="202">
        <v>6500</v>
      </c>
      <c r="F285" s="195">
        <f t="shared" si="71"/>
        <v>3250</v>
      </c>
      <c r="G285" s="203">
        <v>0</v>
      </c>
      <c r="H285" s="197">
        <f t="shared" si="72"/>
        <v>0</v>
      </c>
      <c r="I285" s="206">
        <v>20</v>
      </c>
      <c r="J285" s="254">
        <v>6520</v>
      </c>
      <c r="K285" s="296" t="s">
        <v>378</v>
      </c>
      <c r="L285" s="284">
        <v>6500</v>
      </c>
    </row>
    <row r="286" spans="1:17" ht="22.5" customHeight="1">
      <c r="A286" s="213" t="s">
        <v>60</v>
      </c>
      <c r="B286" s="199"/>
      <c r="C286" s="204" t="s">
        <v>162</v>
      </c>
      <c r="D286" s="205"/>
      <c r="E286" s="202"/>
      <c r="F286" s="195"/>
      <c r="G286" s="203"/>
      <c r="H286" s="197"/>
      <c r="I286" s="206"/>
      <c r="J286" s="282"/>
      <c r="K286" s="288"/>
      <c r="L286" s="284"/>
    </row>
    <row r="287" spans="1:17" ht="22.5" customHeight="1">
      <c r="A287" s="214" t="s">
        <v>63</v>
      </c>
      <c r="B287" s="199">
        <v>45504</v>
      </c>
      <c r="C287" s="204" t="s">
        <v>379</v>
      </c>
      <c r="D287" s="205" t="s">
        <v>358</v>
      </c>
      <c r="E287" s="206">
        <v>9000</v>
      </c>
      <c r="F287" s="195">
        <f t="shared" si="71"/>
        <v>4500</v>
      </c>
      <c r="G287" s="203">
        <v>4</v>
      </c>
      <c r="H287" s="197">
        <f t="shared" si="72"/>
        <v>800</v>
      </c>
      <c r="I287" s="206">
        <v>20</v>
      </c>
      <c r="J287" s="282">
        <v>9820</v>
      </c>
      <c r="K287" s="288" t="s">
        <v>287</v>
      </c>
      <c r="L287" s="291">
        <v>9000</v>
      </c>
    </row>
    <row r="288" spans="1:17" ht="22.5" customHeight="1">
      <c r="A288" s="214" t="s">
        <v>67</v>
      </c>
      <c r="B288" s="199">
        <v>45500</v>
      </c>
      <c r="C288" s="204" t="s">
        <v>380</v>
      </c>
      <c r="D288" s="205" t="s">
        <v>381</v>
      </c>
      <c r="E288" s="206">
        <v>8500</v>
      </c>
      <c r="F288" s="195">
        <f t="shared" si="71"/>
        <v>4250</v>
      </c>
      <c r="G288" s="203">
        <v>4</v>
      </c>
      <c r="H288" s="197">
        <f t="shared" si="72"/>
        <v>800</v>
      </c>
      <c r="I288" s="206">
        <v>20</v>
      </c>
      <c r="J288" s="282">
        <v>9300</v>
      </c>
      <c r="K288" s="295" t="s">
        <v>290</v>
      </c>
      <c r="L288" s="284">
        <v>8500</v>
      </c>
    </row>
    <row r="289" spans="1:12" ht="22.5" customHeight="1">
      <c r="A289" s="214" t="s">
        <v>71</v>
      </c>
      <c r="B289" s="199">
        <v>45504</v>
      </c>
      <c r="C289" s="204" t="s">
        <v>382</v>
      </c>
      <c r="D289" s="205" t="s">
        <v>381</v>
      </c>
      <c r="E289" s="206">
        <v>8500</v>
      </c>
      <c r="F289" s="195">
        <f t="shared" si="71"/>
        <v>4250</v>
      </c>
      <c r="G289" s="203">
        <v>0</v>
      </c>
      <c r="H289" s="197">
        <f t="shared" si="72"/>
        <v>0</v>
      </c>
      <c r="I289" s="206">
        <v>20</v>
      </c>
      <c r="J289" s="282">
        <v>8520</v>
      </c>
      <c r="K289" s="288" t="s">
        <v>383</v>
      </c>
      <c r="L289" s="291">
        <v>8500</v>
      </c>
    </row>
    <row r="290" spans="1:12" ht="22.5" customHeight="1">
      <c r="A290" s="214" t="s">
        <v>74</v>
      </c>
      <c r="B290" s="199">
        <v>45504</v>
      </c>
      <c r="C290" s="204" t="s">
        <v>384</v>
      </c>
      <c r="D290" s="205" t="s">
        <v>364</v>
      </c>
      <c r="E290" s="206">
        <v>8000</v>
      </c>
      <c r="F290" s="195">
        <f t="shared" si="71"/>
        <v>4000</v>
      </c>
      <c r="G290" s="203">
        <v>3</v>
      </c>
      <c r="H290" s="197">
        <f t="shared" si="72"/>
        <v>600</v>
      </c>
      <c r="I290" s="206">
        <v>20</v>
      </c>
      <c r="J290" s="282">
        <f>SUM(E290,H290:I290)</f>
        <v>8620</v>
      </c>
      <c r="K290" s="288" t="s">
        <v>76</v>
      </c>
      <c r="L290" s="291">
        <v>8000</v>
      </c>
    </row>
    <row r="291" spans="1:12" ht="22.5" customHeight="1">
      <c r="A291" s="214" t="s">
        <v>77</v>
      </c>
      <c r="B291" s="199">
        <v>45477</v>
      </c>
      <c r="C291" s="207" t="s">
        <v>385</v>
      </c>
      <c r="D291" s="205" t="s">
        <v>386</v>
      </c>
      <c r="E291" s="206">
        <v>8000</v>
      </c>
      <c r="F291" s="195">
        <f t="shared" ref="F291" si="73">SUM(E291*0.5)</f>
        <v>4000</v>
      </c>
      <c r="G291" s="203">
        <v>2</v>
      </c>
      <c r="H291" s="197">
        <f t="shared" ref="H291" si="74">SUM(G291*200)</f>
        <v>400</v>
      </c>
      <c r="I291" s="206">
        <v>20</v>
      </c>
      <c r="J291" s="282">
        <f>SUM(E291,H291:I291)</f>
        <v>8420</v>
      </c>
      <c r="K291" s="288" t="s">
        <v>340</v>
      </c>
      <c r="L291" s="291">
        <v>8000</v>
      </c>
    </row>
    <row r="292" spans="1:12" ht="22.5" customHeight="1">
      <c r="A292" s="214" t="s">
        <v>81</v>
      </c>
      <c r="B292" s="199">
        <v>45511</v>
      </c>
      <c r="C292" s="207" t="s">
        <v>387</v>
      </c>
      <c r="D292" s="177" t="s">
        <v>388</v>
      </c>
      <c r="E292" s="209">
        <v>6000</v>
      </c>
      <c r="F292" s="195">
        <f t="shared" si="71"/>
        <v>3000</v>
      </c>
      <c r="G292" s="210">
        <v>0</v>
      </c>
      <c r="H292" s="197">
        <v>0</v>
      </c>
      <c r="I292" s="206">
        <v>0</v>
      </c>
      <c r="J292" s="282">
        <v>6000</v>
      </c>
      <c r="K292" s="295" t="s">
        <v>83</v>
      </c>
      <c r="L292" s="291">
        <v>6000</v>
      </c>
    </row>
    <row r="293" spans="1:12" ht="22.5" customHeight="1">
      <c r="A293" s="215" t="s">
        <v>84</v>
      </c>
      <c r="B293" s="216">
        <v>45504</v>
      </c>
      <c r="C293" s="217" t="s">
        <v>389</v>
      </c>
      <c r="D293" s="218" t="s">
        <v>381</v>
      </c>
      <c r="E293" s="219">
        <v>6500</v>
      </c>
      <c r="F293" s="195">
        <f t="shared" si="71"/>
        <v>3250</v>
      </c>
      <c r="G293" s="220">
        <v>1</v>
      </c>
      <c r="H293" s="197">
        <f t="shared" si="72"/>
        <v>200</v>
      </c>
      <c r="I293" s="219">
        <v>20</v>
      </c>
      <c r="J293" s="303">
        <v>6720</v>
      </c>
      <c r="K293" s="304" t="s">
        <v>390</v>
      </c>
      <c r="L293" s="305">
        <v>6500</v>
      </c>
    </row>
    <row r="294" spans="1:12" ht="22.5" customHeight="1">
      <c r="A294" s="221"/>
      <c r="B294" s="222"/>
      <c r="C294" s="223"/>
      <c r="D294" s="224"/>
      <c r="E294" s="225">
        <f>SUM(E272:E293)</f>
        <v>150750</v>
      </c>
      <c r="F294" s="226">
        <f>SUM(F272:F293)</f>
        <v>75375</v>
      </c>
      <c r="G294" s="225">
        <f t="shared" ref="G294" si="75">SUM(G272:G293)</f>
        <v>33</v>
      </c>
      <c r="H294" s="227">
        <f t="shared" ref="H294" si="76">SUM(H272:H293)</f>
        <v>6600</v>
      </c>
      <c r="I294" s="225">
        <f t="shared" ref="I294" si="77">SUM(I272:I293)</f>
        <v>380</v>
      </c>
      <c r="J294" s="227">
        <f t="shared" ref="J294" si="78">SUM(J272:J293)</f>
        <v>157190</v>
      </c>
      <c r="K294" s="306"/>
      <c r="L294" s="307">
        <f>SUM(L272:L293)</f>
        <v>148500</v>
      </c>
    </row>
    <row r="295" spans="1:12" ht="22.5" customHeight="1">
      <c r="A295" s="228" t="s">
        <v>88</v>
      </c>
      <c r="B295" s="229"/>
      <c r="C295" s="230"/>
      <c r="D295" s="205"/>
      <c r="E295" s="195"/>
      <c r="F295" s="195"/>
      <c r="G295" s="231"/>
      <c r="H295" s="195"/>
      <c r="I295" s="195"/>
      <c r="J295" s="230"/>
      <c r="K295" s="309"/>
      <c r="L295" s="291"/>
    </row>
    <row r="296" spans="1:12" ht="22.5" customHeight="1">
      <c r="A296" s="176" t="s">
        <v>89</v>
      </c>
      <c r="B296" s="199">
        <v>45485</v>
      </c>
      <c r="C296" s="204" t="s">
        <v>90</v>
      </c>
      <c r="D296" s="205" t="s">
        <v>377</v>
      </c>
      <c r="E296" s="206">
        <v>10000</v>
      </c>
      <c r="F296" s="195"/>
      <c r="G296" s="232">
        <v>2</v>
      </c>
      <c r="H296" s="197">
        <f t="shared" ref="H296:H298" si="79">SUM(G296*200)</f>
        <v>400</v>
      </c>
      <c r="I296" s="206">
        <v>20</v>
      </c>
      <c r="J296" s="282">
        <v>10420</v>
      </c>
      <c r="K296" s="288" t="s">
        <v>92</v>
      </c>
      <c r="L296" s="291">
        <v>10000</v>
      </c>
    </row>
    <row r="297" spans="1:12" ht="22.5" customHeight="1">
      <c r="A297" s="176" t="s">
        <v>93</v>
      </c>
      <c r="B297" s="199">
        <v>45504</v>
      </c>
      <c r="C297" s="207" t="s">
        <v>94</v>
      </c>
      <c r="D297" s="177" t="s">
        <v>391</v>
      </c>
      <c r="E297" s="212">
        <v>10000</v>
      </c>
      <c r="F297" s="233"/>
      <c r="G297" s="210">
        <v>2</v>
      </c>
      <c r="H297" s="197">
        <f t="shared" si="79"/>
        <v>400</v>
      </c>
      <c r="I297" s="202">
        <v>20</v>
      </c>
      <c r="J297" s="282">
        <v>10420</v>
      </c>
      <c r="K297" s="310" t="s">
        <v>96</v>
      </c>
      <c r="L297" s="284">
        <v>6000</v>
      </c>
    </row>
    <row r="298" spans="1:12" ht="22.5" customHeight="1">
      <c r="A298" s="176" t="s">
        <v>97</v>
      </c>
      <c r="B298" s="199">
        <v>45488</v>
      </c>
      <c r="C298" s="204" t="s">
        <v>98</v>
      </c>
      <c r="D298" s="205" t="s">
        <v>366</v>
      </c>
      <c r="E298" s="234">
        <v>12000</v>
      </c>
      <c r="F298" s="235"/>
      <c r="G298" s="232">
        <v>2</v>
      </c>
      <c r="H298" s="197">
        <f t="shared" si="79"/>
        <v>400</v>
      </c>
      <c r="I298" s="206">
        <v>20</v>
      </c>
      <c r="J298" s="282">
        <v>12400</v>
      </c>
      <c r="K298" s="288" t="s">
        <v>99</v>
      </c>
      <c r="L298" s="291"/>
    </row>
    <row r="299" spans="1:12" ht="22.5" customHeight="1">
      <c r="A299" s="176" t="s">
        <v>100</v>
      </c>
      <c r="B299" s="199"/>
      <c r="C299" s="236" t="s">
        <v>162</v>
      </c>
      <c r="D299" s="205"/>
      <c r="E299" s="206"/>
      <c r="F299" s="195"/>
      <c r="G299" s="232"/>
      <c r="H299" s="197"/>
      <c r="I299" s="206"/>
      <c r="J299" s="282"/>
      <c r="K299" s="311"/>
      <c r="L299" s="291"/>
    </row>
    <row r="300" spans="1:12" ht="22.5" customHeight="1">
      <c r="A300" s="176" t="s">
        <v>104</v>
      </c>
      <c r="B300" s="199">
        <v>45515</v>
      </c>
      <c r="C300" s="237" t="s">
        <v>105</v>
      </c>
      <c r="D300" s="205" t="s">
        <v>392</v>
      </c>
      <c r="E300" s="206">
        <v>12000</v>
      </c>
      <c r="F300" s="195"/>
      <c r="G300" s="238">
        <v>3</v>
      </c>
      <c r="H300" s="197">
        <f t="shared" ref="H300" si="80">SUM(G300*200)</f>
        <v>600</v>
      </c>
      <c r="I300" s="219">
        <v>20</v>
      </c>
      <c r="J300" s="282">
        <v>12620</v>
      </c>
      <c r="K300" s="311" t="s">
        <v>107</v>
      </c>
      <c r="L300" s="291">
        <v>12000</v>
      </c>
    </row>
    <row r="301" spans="1:12" ht="22.5" customHeight="1">
      <c r="A301" s="239"/>
      <c r="B301" s="240"/>
      <c r="C301" s="241" t="s">
        <v>108</v>
      </c>
      <c r="D301" s="242"/>
      <c r="E301" s="243">
        <f>SUM(E296:E300)</f>
        <v>44000</v>
      </c>
      <c r="F301" s="226"/>
      <c r="G301" s="226">
        <f>SUM(G296:G300)</f>
        <v>9</v>
      </c>
      <c r="H301" s="226">
        <f>SUM(H296:H300)</f>
        <v>1800</v>
      </c>
      <c r="I301" s="243">
        <f>SUM(I296:I300)</f>
        <v>80</v>
      </c>
      <c r="J301" s="226">
        <f>SUM(J296:J300)</f>
        <v>45860</v>
      </c>
      <c r="K301" s="306"/>
      <c r="L301" s="312">
        <f>SUM(L296:L300)</f>
        <v>28000</v>
      </c>
    </row>
    <row r="302" spans="1:12" ht="22.5" customHeight="1">
      <c r="A302" s="228" t="s">
        <v>109</v>
      </c>
      <c r="B302" s="244"/>
      <c r="C302" s="245"/>
      <c r="D302" s="205"/>
      <c r="E302" s="195"/>
      <c r="F302" s="195"/>
      <c r="G302" s="231"/>
      <c r="H302" s="195"/>
      <c r="I302" s="195"/>
      <c r="J302" s="195"/>
      <c r="K302" s="309"/>
      <c r="L302" s="313"/>
    </row>
    <row r="303" spans="1:12" ht="22.5" customHeight="1">
      <c r="A303" s="246" t="s">
        <v>110</v>
      </c>
      <c r="B303" s="329">
        <v>45504</v>
      </c>
      <c r="C303" s="248" t="s">
        <v>303</v>
      </c>
      <c r="D303" s="242" t="s">
        <v>393</v>
      </c>
      <c r="E303" s="243">
        <v>30000</v>
      </c>
      <c r="F303" s="226"/>
      <c r="G303" s="249">
        <v>7</v>
      </c>
      <c r="H303" s="226">
        <v>1400</v>
      </c>
      <c r="I303" s="243">
        <v>20</v>
      </c>
      <c r="J303" s="226">
        <v>31400</v>
      </c>
      <c r="K303" s="306" t="s">
        <v>304</v>
      </c>
      <c r="L303" s="312">
        <v>30000</v>
      </c>
    </row>
    <row r="304" spans="1:12" ht="22.5" customHeight="1">
      <c r="A304" s="228" t="s">
        <v>112</v>
      </c>
      <c r="B304" s="250"/>
      <c r="C304" s="245"/>
      <c r="D304" s="205"/>
      <c r="E304" s="195"/>
      <c r="F304" s="195"/>
      <c r="G304" s="231"/>
      <c r="H304" s="195"/>
      <c r="I304" s="195"/>
      <c r="J304" s="195"/>
      <c r="K304" s="309"/>
      <c r="L304" s="313"/>
    </row>
    <row r="305" spans="1:12" ht="22.5" customHeight="1">
      <c r="A305" s="176" t="s">
        <v>113</v>
      </c>
      <c r="B305" s="199">
        <v>45478</v>
      </c>
      <c r="C305" s="251" t="s">
        <v>114</v>
      </c>
      <c r="D305" s="177" t="s">
        <v>368</v>
      </c>
      <c r="E305" s="206">
        <v>12600</v>
      </c>
      <c r="F305" s="230"/>
      <c r="G305" s="209">
        <v>2</v>
      </c>
      <c r="H305" s="197">
        <f t="shared" ref="H305:H306" si="81">SUM(G305*200)</f>
        <v>400</v>
      </c>
      <c r="I305" s="314">
        <v>20</v>
      </c>
      <c r="J305" s="282">
        <v>13000</v>
      </c>
      <c r="K305" s="295" t="s">
        <v>115</v>
      </c>
      <c r="L305" s="291">
        <v>12000</v>
      </c>
    </row>
    <row r="306" spans="1:12" ht="22.5" customHeight="1">
      <c r="A306" s="176" t="s">
        <v>116</v>
      </c>
      <c r="B306" s="199">
        <v>45478</v>
      </c>
      <c r="C306" s="252" t="s">
        <v>117</v>
      </c>
      <c r="D306" s="205" t="s">
        <v>394</v>
      </c>
      <c r="E306" s="206">
        <v>7000</v>
      </c>
      <c r="F306" s="195"/>
      <c r="G306" s="209">
        <v>1</v>
      </c>
      <c r="H306" s="197">
        <f t="shared" si="81"/>
        <v>200</v>
      </c>
      <c r="I306" s="314">
        <v>20</v>
      </c>
      <c r="J306" s="282">
        <v>7220</v>
      </c>
      <c r="K306" s="288" t="s">
        <v>119</v>
      </c>
      <c r="L306" s="291">
        <v>7000</v>
      </c>
    </row>
    <row r="307" spans="1:12" ht="22.5" customHeight="1">
      <c r="A307" s="176" t="s">
        <v>120</v>
      </c>
      <c r="B307" s="199">
        <v>45517</v>
      </c>
      <c r="C307" s="253" t="s">
        <v>121</v>
      </c>
      <c r="D307" s="177" t="s">
        <v>364</v>
      </c>
      <c r="E307" s="209">
        <v>10000</v>
      </c>
      <c r="F307" s="254"/>
      <c r="G307" s="209">
        <v>0</v>
      </c>
      <c r="H307" s="197">
        <v>0</v>
      </c>
      <c r="I307" s="315"/>
      <c r="J307" s="254">
        <v>10000</v>
      </c>
      <c r="K307" s="316" t="s">
        <v>122</v>
      </c>
      <c r="L307" s="291">
        <v>10000</v>
      </c>
    </row>
    <row r="308" spans="1:12" ht="22.5" customHeight="1">
      <c r="A308" s="246"/>
      <c r="B308" s="247"/>
      <c r="C308" s="255"/>
      <c r="D308" s="242"/>
      <c r="E308" s="256">
        <f>SUM(E305:E307)</f>
        <v>29600</v>
      </c>
      <c r="F308" s="257"/>
      <c r="G308" s="256">
        <f>SUM(G305:G307)</f>
        <v>3</v>
      </c>
      <c r="H308" s="257">
        <f>SUM(H305:H307)</f>
        <v>600</v>
      </c>
      <c r="I308" s="257">
        <f>SUM(I305:I307)</f>
        <v>40</v>
      </c>
      <c r="J308" s="257">
        <f>SUM(J305:J307)</f>
        <v>30220</v>
      </c>
      <c r="K308" s="317"/>
      <c r="L308" s="312">
        <f>SUM(L305:L307)</f>
        <v>29000</v>
      </c>
    </row>
    <row r="309" spans="1:12" ht="22.5" customHeight="1">
      <c r="B309" s="244"/>
      <c r="C309" s="80"/>
      <c r="D309" s="258"/>
      <c r="E309" s="259">
        <f>SUM(E294,E301,E303,E308)</f>
        <v>254350</v>
      </c>
      <c r="F309" s="260"/>
      <c r="G309" s="259">
        <f>SUM(G294,G301,G303,G308)</f>
        <v>52</v>
      </c>
      <c r="H309" s="259">
        <f>SUM(H294,H301,H303,H308)</f>
        <v>10400</v>
      </c>
      <c r="I309" s="318">
        <f>SUM(I294,I301,I303,I308)</f>
        <v>520</v>
      </c>
      <c r="J309" s="259">
        <f>SUM(J294,J301,J303,J308)</f>
        <v>264670</v>
      </c>
      <c r="K309" s="319"/>
      <c r="L309" s="291"/>
    </row>
    <row r="310" spans="1:12" ht="22.5" customHeight="1">
      <c r="A310" s="228" t="s">
        <v>123</v>
      </c>
      <c r="B310" s="261"/>
      <c r="C310" s="262"/>
      <c r="D310" s="15"/>
      <c r="E310" s="195"/>
      <c r="F310" s="263" t="s">
        <v>124</v>
      </c>
      <c r="G310" s="264"/>
      <c r="H310" s="195"/>
      <c r="I310" s="195"/>
      <c r="J310" s="230"/>
      <c r="K310" s="309"/>
      <c r="L310" s="284"/>
    </row>
    <row r="311" spans="1:12" ht="22.5" customHeight="1">
      <c r="A311" s="176" t="s">
        <v>125</v>
      </c>
      <c r="B311" s="199">
        <v>45477</v>
      </c>
      <c r="C311" s="265" t="s">
        <v>126</v>
      </c>
      <c r="D311" s="205" t="s">
        <v>395</v>
      </c>
      <c r="E311" s="202">
        <v>5000</v>
      </c>
      <c r="F311" s="266">
        <v>325</v>
      </c>
      <c r="G311" s="203">
        <v>2</v>
      </c>
      <c r="H311" s="266">
        <f t="shared" ref="H311:H312" si="82">SUM(G311*200)</f>
        <v>400</v>
      </c>
      <c r="I311" s="202">
        <v>20</v>
      </c>
      <c r="J311" s="282">
        <f>SUM(E311,F311,H311,I311)</f>
        <v>5745</v>
      </c>
      <c r="K311" s="319" t="s">
        <v>128</v>
      </c>
      <c r="L311" s="284">
        <v>5000</v>
      </c>
    </row>
    <row r="312" spans="1:12" ht="22.5" customHeight="1">
      <c r="A312" s="176" t="s">
        <v>129</v>
      </c>
      <c r="B312" s="199">
        <v>45503</v>
      </c>
      <c r="C312" s="265" t="s">
        <v>130</v>
      </c>
      <c r="D312" s="205" t="s">
        <v>396</v>
      </c>
      <c r="E312" s="206">
        <v>5500</v>
      </c>
      <c r="F312" s="195"/>
      <c r="G312" s="203">
        <v>1</v>
      </c>
      <c r="H312" s="266">
        <f t="shared" si="82"/>
        <v>200</v>
      </c>
      <c r="I312" s="206">
        <v>20</v>
      </c>
      <c r="J312" s="282">
        <f>SUM(E312,H312:I312)</f>
        <v>5720</v>
      </c>
      <c r="K312" s="319" t="s">
        <v>132</v>
      </c>
      <c r="L312" s="291">
        <v>5500</v>
      </c>
    </row>
    <row r="313" spans="1:12" ht="22.5" customHeight="1">
      <c r="A313" s="267" t="s">
        <v>133</v>
      </c>
      <c r="B313" s="268"/>
      <c r="C313" s="269"/>
      <c r="D313" s="242"/>
      <c r="E313" s="270">
        <f>SUM(E311:E312)</f>
        <v>10500</v>
      </c>
      <c r="F313" s="226">
        <f t="shared" ref="F313:I313" si="83">SUM(F311:F312)</f>
        <v>325</v>
      </c>
      <c r="G313" s="243">
        <f t="shared" si="83"/>
        <v>3</v>
      </c>
      <c r="H313" s="226">
        <f t="shared" si="83"/>
        <v>600</v>
      </c>
      <c r="I313" s="320">
        <f t="shared" si="83"/>
        <v>40</v>
      </c>
      <c r="J313" s="321">
        <f>SUM(F313,H313,I313,)</f>
        <v>965</v>
      </c>
      <c r="K313" s="322"/>
      <c r="L313" s="323"/>
    </row>
    <row r="314" spans="1:12" ht="22.5" customHeight="1">
      <c r="E314" s="271" t="s">
        <v>134</v>
      </c>
      <c r="F314" s="272">
        <f>SUM(F309,F313)</f>
        <v>325</v>
      </c>
      <c r="H314" s="272">
        <f>SUM(H309,H313)</f>
        <v>11000</v>
      </c>
      <c r="I314" s="324">
        <f>SUM(I309,I313)</f>
        <v>560</v>
      </c>
      <c r="J314" s="325" t="s">
        <v>135</v>
      </c>
      <c r="L314" s="326"/>
    </row>
    <row r="315" spans="1:12" ht="22.5" customHeight="1"/>
    <row r="316" spans="1:12" ht="22.5" customHeight="1">
      <c r="A316" s="185" t="s">
        <v>8</v>
      </c>
      <c r="B316" s="186" t="s">
        <v>397</v>
      </c>
      <c r="C316" s="187"/>
      <c r="D316" s="187"/>
      <c r="E316" s="187"/>
      <c r="F316" s="273"/>
      <c r="G316" s="189"/>
      <c r="H316" s="273"/>
      <c r="I316" s="187"/>
      <c r="J316" s="187"/>
      <c r="K316" s="187"/>
      <c r="L316" s="187"/>
    </row>
    <row r="317" spans="1:12" ht="22.5" customHeight="1">
      <c r="A317" s="190" t="s">
        <v>10</v>
      </c>
      <c r="B317" s="191">
        <v>45537</v>
      </c>
      <c r="C317" s="192" t="s">
        <v>398</v>
      </c>
      <c r="D317" s="193" t="s">
        <v>399</v>
      </c>
      <c r="E317" s="194">
        <v>8000</v>
      </c>
      <c r="F317" s="195">
        <f>SUM(E317*0.5)</f>
        <v>4000</v>
      </c>
      <c r="G317" s="196">
        <v>1</v>
      </c>
      <c r="H317" s="197">
        <f t="shared" ref="H317:H319" si="84">SUM(G317*200)</f>
        <v>200</v>
      </c>
      <c r="I317" s="194">
        <v>20</v>
      </c>
      <c r="J317" s="279">
        <v>8220</v>
      </c>
      <c r="K317" s="280" t="s">
        <v>13</v>
      </c>
      <c r="L317" s="281">
        <v>8000</v>
      </c>
    </row>
    <row r="318" spans="1:12" ht="22.5" customHeight="1">
      <c r="A318" s="198" t="s">
        <v>14</v>
      </c>
      <c r="B318" s="199">
        <v>45533</v>
      </c>
      <c r="C318" s="200" t="s">
        <v>400</v>
      </c>
      <c r="D318" s="201" t="s">
        <v>401</v>
      </c>
      <c r="E318" s="202">
        <v>8500</v>
      </c>
      <c r="F318" s="195">
        <f t="shared" ref="F318:F338" si="85">SUM(E318*0.5)</f>
        <v>4250</v>
      </c>
      <c r="G318" s="203">
        <v>3</v>
      </c>
      <c r="H318" s="197">
        <f t="shared" si="84"/>
        <v>600</v>
      </c>
      <c r="I318" s="206">
        <v>20</v>
      </c>
      <c r="J318" s="282">
        <v>8620</v>
      </c>
      <c r="K318" s="283" t="s">
        <v>314</v>
      </c>
      <c r="L318" s="284">
        <v>8500</v>
      </c>
    </row>
    <row r="319" spans="1:12" ht="22.5" customHeight="1">
      <c r="A319" s="190" t="s">
        <v>18</v>
      </c>
      <c r="B319" s="199">
        <v>45525</v>
      </c>
      <c r="C319" s="204" t="s">
        <v>402</v>
      </c>
      <c r="D319" s="205" t="s">
        <v>403</v>
      </c>
      <c r="E319" s="202">
        <v>8000</v>
      </c>
      <c r="F319" s="195">
        <f t="shared" si="85"/>
        <v>4000</v>
      </c>
      <c r="G319" s="203">
        <v>1</v>
      </c>
      <c r="H319" s="197">
        <f t="shared" si="84"/>
        <v>200</v>
      </c>
      <c r="I319" s="206">
        <v>20</v>
      </c>
      <c r="J319" s="282">
        <f>SUM(E319,H319:I319)</f>
        <v>8220</v>
      </c>
      <c r="K319" s="288" t="s">
        <v>21</v>
      </c>
      <c r="L319" s="284">
        <v>8000</v>
      </c>
    </row>
    <row r="320" spans="1:12" ht="22.5" customHeight="1">
      <c r="A320" s="190" t="s">
        <v>22</v>
      </c>
      <c r="B320" s="199">
        <v>45514</v>
      </c>
      <c r="C320" s="26" t="s">
        <v>404</v>
      </c>
      <c r="D320" s="205" t="s">
        <v>405</v>
      </c>
      <c r="E320" s="206">
        <v>7250</v>
      </c>
      <c r="F320" s="195">
        <f t="shared" si="85"/>
        <v>3625</v>
      </c>
      <c r="G320" s="203">
        <v>1</v>
      </c>
      <c r="H320" s="197">
        <f t="shared" ref="H320:H338" si="86">SUM(G320*200)</f>
        <v>200</v>
      </c>
      <c r="I320" s="206">
        <v>20</v>
      </c>
      <c r="J320" s="282">
        <f>SUM(E320,H320:I320)</f>
        <v>7470</v>
      </c>
      <c r="K320" s="290" t="s">
        <v>25</v>
      </c>
      <c r="L320" s="291">
        <v>5000</v>
      </c>
    </row>
    <row r="321" spans="1:17" ht="22.5" customHeight="1">
      <c r="A321" s="190" t="s">
        <v>26</v>
      </c>
      <c r="B321" s="199">
        <v>45526</v>
      </c>
      <c r="C321" s="207" t="s">
        <v>406</v>
      </c>
      <c r="D321" s="208" t="s">
        <v>407</v>
      </c>
      <c r="E321" s="209">
        <v>6000</v>
      </c>
      <c r="F321" s="195">
        <f t="shared" si="85"/>
        <v>3000</v>
      </c>
      <c r="G321" s="210">
        <v>1</v>
      </c>
      <c r="H321" s="197">
        <f t="shared" si="86"/>
        <v>200</v>
      </c>
      <c r="I321" s="209">
        <v>20</v>
      </c>
      <c r="J321" s="254">
        <v>6220</v>
      </c>
      <c r="K321" s="24" t="s">
        <v>29</v>
      </c>
      <c r="L321" s="291">
        <v>6000</v>
      </c>
    </row>
    <row r="322" spans="1:17" ht="22.5" customHeight="1">
      <c r="A322" s="190" t="s">
        <v>30</v>
      </c>
      <c r="B322" s="199"/>
      <c r="C322" s="204" t="s">
        <v>162</v>
      </c>
      <c r="D322" s="205"/>
      <c r="E322" s="209"/>
      <c r="F322" s="195"/>
      <c r="G322" s="210"/>
      <c r="H322" s="197"/>
      <c r="I322" s="209"/>
      <c r="J322" s="254"/>
      <c r="K322" s="294"/>
      <c r="L322" s="291"/>
    </row>
    <row r="323" spans="1:17" ht="22.5" customHeight="1">
      <c r="A323" s="190" t="s">
        <v>33</v>
      </c>
      <c r="B323" s="199">
        <v>45535</v>
      </c>
      <c r="C323" s="204" t="s">
        <v>408</v>
      </c>
      <c r="D323" s="205" t="s">
        <v>409</v>
      </c>
      <c r="E323" s="202">
        <v>6000</v>
      </c>
      <c r="F323" s="195">
        <f t="shared" si="85"/>
        <v>3000</v>
      </c>
      <c r="G323" s="210">
        <v>1</v>
      </c>
      <c r="H323" s="197">
        <f t="shared" si="86"/>
        <v>200</v>
      </c>
      <c r="I323" s="202">
        <v>20</v>
      </c>
      <c r="J323" s="197">
        <v>6220</v>
      </c>
      <c r="K323" s="288" t="s">
        <v>17</v>
      </c>
      <c r="L323" s="284">
        <v>6000</v>
      </c>
    </row>
    <row r="324" spans="1:17" ht="22.5" customHeight="1">
      <c r="A324" s="190" t="s">
        <v>35</v>
      </c>
      <c r="B324" s="199">
        <v>45511</v>
      </c>
      <c r="C324" s="211" t="s">
        <v>410</v>
      </c>
      <c r="D324" s="177" t="s">
        <v>411</v>
      </c>
      <c r="E324" s="212">
        <v>6000</v>
      </c>
      <c r="F324" s="195">
        <f t="shared" si="85"/>
        <v>3000</v>
      </c>
      <c r="G324" s="210">
        <v>1</v>
      </c>
      <c r="H324" s="197">
        <f t="shared" si="86"/>
        <v>200</v>
      </c>
      <c r="I324" s="206">
        <v>20</v>
      </c>
      <c r="J324" s="282">
        <v>6220</v>
      </c>
      <c r="K324" s="295" t="s">
        <v>38</v>
      </c>
      <c r="L324" s="284">
        <v>6000</v>
      </c>
    </row>
    <row r="325" spans="1:17" ht="22.5" customHeight="1">
      <c r="A325" s="213" t="s">
        <v>39</v>
      </c>
      <c r="B325" s="199">
        <v>45535</v>
      </c>
      <c r="C325" s="14" t="s">
        <v>412</v>
      </c>
      <c r="D325" s="205" t="s">
        <v>413</v>
      </c>
      <c r="E325" s="202">
        <v>8000</v>
      </c>
      <c r="F325" s="195">
        <f t="shared" si="85"/>
        <v>4000</v>
      </c>
      <c r="G325" s="203">
        <v>1</v>
      </c>
      <c r="H325" s="197">
        <f t="shared" si="86"/>
        <v>200</v>
      </c>
      <c r="I325" s="202">
        <v>20</v>
      </c>
      <c r="J325" s="282">
        <f>SUM(E325,H325:I325)</f>
        <v>8220</v>
      </c>
      <c r="K325" s="288" t="s">
        <v>42</v>
      </c>
      <c r="L325" s="284">
        <v>8000</v>
      </c>
    </row>
    <row r="326" spans="1:17" ht="22.5" customHeight="1">
      <c r="A326" s="213" t="s">
        <v>43</v>
      </c>
      <c r="B326" s="199">
        <v>45539</v>
      </c>
      <c r="C326" s="204" t="s">
        <v>414</v>
      </c>
      <c r="D326" s="14" t="s">
        <v>415</v>
      </c>
      <c r="E326" s="202">
        <v>8000</v>
      </c>
      <c r="F326" s="195">
        <f t="shared" si="85"/>
        <v>4000</v>
      </c>
      <c r="G326" s="203">
        <v>2</v>
      </c>
      <c r="H326" s="197">
        <f t="shared" si="86"/>
        <v>400</v>
      </c>
      <c r="I326" s="206">
        <v>20</v>
      </c>
      <c r="J326" s="282">
        <f>SUM(E326,H326:I326)</f>
        <v>8420</v>
      </c>
      <c r="K326" s="288" t="s">
        <v>46</v>
      </c>
      <c r="L326" s="284">
        <v>8000</v>
      </c>
    </row>
    <row r="327" spans="1:17" ht="22.5" customHeight="1">
      <c r="A327" s="213" t="s">
        <v>47</v>
      </c>
      <c r="B327" s="199">
        <v>45539</v>
      </c>
      <c r="C327" s="204" t="s">
        <v>416</v>
      </c>
      <c r="D327" s="205" t="s">
        <v>417</v>
      </c>
      <c r="E327" s="202">
        <v>8000</v>
      </c>
      <c r="F327" s="195">
        <f t="shared" si="85"/>
        <v>4000</v>
      </c>
      <c r="G327" s="203">
        <v>2</v>
      </c>
      <c r="H327" s="197">
        <f t="shared" si="86"/>
        <v>400</v>
      </c>
      <c r="I327" s="202">
        <v>20</v>
      </c>
      <c r="J327" s="282">
        <v>8420</v>
      </c>
      <c r="K327" s="288" t="s">
        <v>50</v>
      </c>
      <c r="L327" s="291">
        <v>8000</v>
      </c>
    </row>
    <row r="328" spans="1:17" ht="22.5" customHeight="1">
      <c r="A328" s="213" t="s">
        <v>51</v>
      </c>
      <c r="B328" s="199">
        <v>45533</v>
      </c>
      <c r="C328" s="207" t="s">
        <v>418</v>
      </c>
      <c r="D328" s="205" t="s">
        <v>419</v>
      </c>
      <c r="E328" s="212">
        <v>8500</v>
      </c>
      <c r="F328" s="195">
        <f t="shared" si="85"/>
        <v>4250</v>
      </c>
      <c r="G328" s="210">
        <v>4</v>
      </c>
      <c r="H328" s="197">
        <f t="shared" si="86"/>
        <v>800</v>
      </c>
      <c r="I328" s="212">
        <v>20</v>
      </c>
      <c r="J328" s="282">
        <v>9300</v>
      </c>
      <c r="K328" s="295" t="s">
        <v>54</v>
      </c>
      <c r="L328" s="284">
        <v>8500</v>
      </c>
      <c r="M328"/>
      <c r="O328"/>
      <c r="P328"/>
      <c r="Q328"/>
    </row>
    <row r="329" spans="1:17" ht="22.5" customHeight="1">
      <c r="A329" s="213" t="s">
        <v>55</v>
      </c>
      <c r="B329" s="199">
        <v>45535</v>
      </c>
      <c r="C329" s="204" t="s">
        <v>420</v>
      </c>
      <c r="D329" s="205" t="s">
        <v>417</v>
      </c>
      <c r="E329" s="202">
        <v>7500</v>
      </c>
      <c r="F329" s="195">
        <f t="shared" si="85"/>
        <v>3750</v>
      </c>
      <c r="G329" s="203">
        <v>2</v>
      </c>
      <c r="H329" s="197">
        <f t="shared" si="86"/>
        <v>400</v>
      </c>
      <c r="I329" s="206">
        <v>20</v>
      </c>
      <c r="J329" s="282">
        <v>7920</v>
      </c>
      <c r="K329" s="288" t="s">
        <v>57</v>
      </c>
      <c r="L329" s="284">
        <v>7500</v>
      </c>
    </row>
    <row r="330" spans="1:17" ht="22.5" customHeight="1">
      <c r="A330" s="213" t="s">
        <v>58</v>
      </c>
      <c r="B330" s="199">
        <v>45538</v>
      </c>
      <c r="C330" s="204" t="s">
        <v>421</v>
      </c>
      <c r="D330" s="205" t="s">
        <v>422</v>
      </c>
      <c r="E330" s="202">
        <v>6500</v>
      </c>
      <c r="F330" s="195">
        <f t="shared" si="85"/>
        <v>3250</v>
      </c>
      <c r="G330" s="203">
        <v>0</v>
      </c>
      <c r="H330" s="197">
        <f t="shared" si="86"/>
        <v>0</v>
      </c>
      <c r="I330" s="206">
        <v>20</v>
      </c>
      <c r="J330" s="254">
        <v>6520</v>
      </c>
      <c r="K330" s="296" t="s">
        <v>378</v>
      </c>
      <c r="L330" s="284">
        <v>6500</v>
      </c>
      <c r="M330"/>
      <c r="O330"/>
      <c r="P330"/>
      <c r="Q330"/>
    </row>
    <row r="331" spans="1:17" ht="22.5" customHeight="1">
      <c r="A331" s="213" t="s">
        <v>60</v>
      </c>
      <c r="B331" s="199"/>
      <c r="C331" t="s">
        <v>162</v>
      </c>
      <c r="D331" s="177"/>
      <c r="E331" s="178"/>
      <c r="F331" s="178"/>
      <c r="G331"/>
      <c r="M331"/>
      <c r="O331"/>
      <c r="P331"/>
      <c r="Q331"/>
    </row>
    <row r="332" spans="1:17" ht="22.5" customHeight="1">
      <c r="A332" s="214" t="s">
        <v>63</v>
      </c>
      <c r="B332" s="199">
        <v>45535</v>
      </c>
      <c r="C332" s="204" t="s">
        <v>423</v>
      </c>
      <c r="D332" s="205" t="s">
        <v>403</v>
      </c>
      <c r="E332" s="206">
        <v>9000</v>
      </c>
      <c r="F332" s="195">
        <f t="shared" si="85"/>
        <v>4500</v>
      </c>
      <c r="G332" s="203">
        <v>4</v>
      </c>
      <c r="H332" s="197">
        <f t="shared" si="86"/>
        <v>800</v>
      </c>
      <c r="I332" s="206">
        <v>20</v>
      </c>
      <c r="J332" s="282">
        <v>9820</v>
      </c>
      <c r="K332" s="288" t="s">
        <v>287</v>
      </c>
      <c r="L332" s="291">
        <v>9000</v>
      </c>
      <c r="M332"/>
      <c r="O332"/>
      <c r="P332"/>
      <c r="Q332"/>
    </row>
    <row r="333" spans="1:17" ht="22.5" customHeight="1">
      <c r="A333" s="214" t="s">
        <v>67</v>
      </c>
      <c r="B333" s="199">
        <v>45534</v>
      </c>
      <c r="C333" s="204" t="s">
        <v>424</v>
      </c>
      <c r="D333" s="205" t="s">
        <v>425</v>
      </c>
      <c r="E333" s="206">
        <v>8500</v>
      </c>
      <c r="F333" s="195">
        <f t="shared" si="85"/>
        <v>4250</v>
      </c>
      <c r="G333" s="203">
        <v>4</v>
      </c>
      <c r="H333" s="197">
        <f t="shared" si="86"/>
        <v>800</v>
      </c>
      <c r="I333" s="206">
        <v>20</v>
      </c>
      <c r="J333" s="282">
        <v>9300</v>
      </c>
      <c r="K333" s="295" t="s">
        <v>290</v>
      </c>
      <c r="L333" s="284">
        <v>8500</v>
      </c>
      <c r="M333"/>
      <c r="O333"/>
      <c r="P333"/>
      <c r="Q333"/>
    </row>
    <row r="334" spans="1:17" ht="22.5" customHeight="1">
      <c r="A334" s="214" t="s">
        <v>71</v>
      </c>
      <c r="B334" s="199">
        <v>45539</v>
      </c>
      <c r="C334" s="204" t="s">
        <v>426</v>
      </c>
      <c r="D334" s="205" t="s">
        <v>425</v>
      </c>
      <c r="E334" s="206">
        <v>8500</v>
      </c>
      <c r="F334" s="195">
        <f t="shared" si="85"/>
        <v>4250</v>
      </c>
      <c r="G334" s="203">
        <v>0</v>
      </c>
      <c r="H334" s="197">
        <f t="shared" si="86"/>
        <v>0</v>
      </c>
      <c r="I334" s="206">
        <v>20</v>
      </c>
      <c r="J334" s="282">
        <v>8520</v>
      </c>
      <c r="K334" s="288" t="s">
        <v>383</v>
      </c>
      <c r="L334" s="291">
        <v>8500</v>
      </c>
    </row>
    <row r="335" spans="1:17" ht="22.5" customHeight="1">
      <c r="A335" s="214" t="s">
        <v>74</v>
      </c>
      <c r="B335" s="199">
        <v>45535</v>
      </c>
      <c r="C335" s="204" t="s">
        <v>427</v>
      </c>
      <c r="D335" s="205" t="s">
        <v>409</v>
      </c>
      <c r="E335" s="206">
        <v>8000</v>
      </c>
      <c r="F335" s="195">
        <f t="shared" si="85"/>
        <v>4000</v>
      </c>
      <c r="G335" s="203">
        <v>2</v>
      </c>
      <c r="H335" s="197">
        <f t="shared" si="86"/>
        <v>400</v>
      </c>
      <c r="I335" s="206">
        <v>20</v>
      </c>
      <c r="J335" s="282">
        <f>SUM(E335,H335:I335)</f>
        <v>8420</v>
      </c>
      <c r="K335" s="288" t="s">
        <v>76</v>
      </c>
      <c r="L335" s="291">
        <v>8000</v>
      </c>
    </row>
    <row r="336" spans="1:17" ht="22.5" customHeight="1">
      <c r="A336" s="214" t="s">
        <v>77</v>
      </c>
      <c r="B336" s="199">
        <v>45514</v>
      </c>
      <c r="C336" s="207" t="s">
        <v>428</v>
      </c>
      <c r="D336" s="205" t="s">
        <v>413</v>
      </c>
      <c r="E336" s="206">
        <v>8000</v>
      </c>
      <c r="F336" s="195">
        <f t="shared" ref="F336" si="87">SUM(E336*0.5)</f>
        <v>4000</v>
      </c>
      <c r="G336" s="203">
        <v>2</v>
      </c>
      <c r="H336" s="197">
        <f t="shared" ref="H336" si="88">SUM(G336*200)</f>
        <v>400</v>
      </c>
      <c r="I336" s="206">
        <v>20</v>
      </c>
      <c r="J336" s="282">
        <f>SUM(E336,H336:I336)</f>
        <v>8420</v>
      </c>
      <c r="K336" s="288" t="s">
        <v>340</v>
      </c>
      <c r="L336" s="291">
        <v>8000</v>
      </c>
    </row>
    <row r="337" spans="1:12" ht="22.5" customHeight="1">
      <c r="A337" s="214" t="s">
        <v>81</v>
      </c>
      <c r="B337" s="199">
        <v>45527</v>
      </c>
      <c r="C337" s="217" t="s">
        <v>429</v>
      </c>
      <c r="D337" s="218" t="s">
        <v>425</v>
      </c>
      <c r="E337" s="219">
        <v>6500</v>
      </c>
      <c r="F337" s="195">
        <f t="shared" ref="F337" si="89">SUM(E337*0.5)</f>
        <v>3250</v>
      </c>
      <c r="G337" s="220">
        <v>1</v>
      </c>
      <c r="H337" s="197">
        <f t="shared" ref="H337" si="90">SUM(G337*200)</f>
        <v>200</v>
      </c>
      <c r="I337" s="219">
        <v>20</v>
      </c>
      <c r="J337" s="303">
        <v>6720</v>
      </c>
      <c r="K337" s="304" t="s">
        <v>390</v>
      </c>
      <c r="L337" s="305">
        <v>6500</v>
      </c>
    </row>
    <row r="338" spans="1:12" ht="22.5" customHeight="1">
      <c r="A338" s="215" t="s">
        <v>84</v>
      </c>
      <c r="B338" s="216">
        <v>45539</v>
      </c>
      <c r="C338" s="217" t="s">
        <v>429</v>
      </c>
      <c r="D338" s="218" t="s">
        <v>425</v>
      </c>
      <c r="E338" s="219">
        <v>6500</v>
      </c>
      <c r="F338" s="195">
        <f t="shared" si="85"/>
        <v>3250</v>
      </c>
      <c r="G338" s="220">
        <v>1</v>
      </c>
      <c r="H338" s="197">
        <f t="shared" si="86"/>
        <v>200</v>
      </c>
      <c r="I338" s="219">
        <v>20</v>
      </c>
      <c r="J338" s="303">
        <v>6720</v>
      </c>
      <c r="K338" s="304" t="s">
        <v>390</v>
      </c>
      <c r="L338" s="305">
        <v>6500</v>
      </c>
    </row>
    <row r="339" spans="1:12" ht="22.5" customHeight="1">
      <c r="A339" s="221"/>
      <c r="B339" s="222"/>
      <c r="C339" s="223"/>
      <c r="D339" s="224"/>
      <c r="E339" s="225">
        <f>SUM(E317:E338)</f>
        <v>151250</v>
      </c>
      <c r="F339" s="226">
        <f>SUM(F317:F338)</f>
        <v>75625</v>
      </c>
      <c r="G339" s="225">
        <f t="shared" ref="G339:J339" si="91">SUM(G317:G338)</f>
        <v>34</v>
      </c>
      <c r="H339" s="227">
        <f t="shared" si="91"/>
        <v>6800</v>
      </c>
      <c r="I339" s="225">
        <f t="shared" si="91"/>
        <v>400</v>
      </c>
      <c r="J339" s="227">
        <f t="shared" si="91"/>
        <v>157910</v>
      </c>
      <c r="K339" s="306"/>
      <c r="L339" s="307">
        <f>SUM(L317:L338)</f>
        <v>149000</v>
      </c>
    </row>
    <row r="340" spans="1:12" ht="22.5" customHeight="1">
      <c r="A340" s="228" t="s">
        <v>88</v>
      </c>
      <c r="B340" s="229"/>
      <c r="C340" s="230"/>
      <c r="D340" s="205"/>
      <c r="E340" s="195"/>
      <c r="F340" s="195"/>
      <c r="G340" s="231"/>
      <c r="H340" s="195"/>
      <c r="I340" s="195"/>
      <c r="J340" s="230"/>
      <c r="K340" s="309"/>
      <c r="L340" s="291"/>
    </row>
    <row r="341" spans="1:12" ht="22.5" customHeight="1">
      <c r="A341" s="176" t="s">
        <v>89</v>
      </c>
      <c r="B341" s="199">
        <v>45514</v>
      </c>
      <c r="C341" s="204" t="s">
        <v>90</v>
      </c>
      <c r="D341" s="205" t="s">
        <v>430</v>
      </c>
      <c r="E341" s="206">
        <v>10000</v>
      </c>
      <c r="F341" s="195"/>
      <c r="G341" s="232">
        <v>2</v>
      </c>
      <c r="H341" s="197">
        <f t="shared" ref="H341:H343" si="92">SUM(G341*200)</f>
        <v>400</v>
      </c>
      <c r="I341" s="206">
        <v>20</v>
      </c>
      <c r="J341" s="282">
        <v>10420</v>
      </c>
      <c r="K341" s="288" t="s">
        <v>92</v>
      </c>
      <c r="L341" s="291">
        <v>10000</v>
      </c>
    </row>
    <row r="342" spans="1:12" ht="22.5" customHeight="1">
      <c r="A342" s="176" t="s">
        <v>93</v>
      </c>
      <c r="B342" s="199">
        <v>45509</v>
      </c>
      <c r="C342" s="207" t="s">
        <v>94</v>
      </c>
      <c r="D342" s="177" t="s">
        <v>431</v>
      </c>
      <c r="E342" s="212">
        <v>10000</v>
      </c>
      <c r="F342" s="233"/>
      <c r="G342" s="210">
        <v>2</v>
      </c>
      <c r="H342" s="197">
        <f t="shared" si="92"/>
        <v>400</v>
      </c>
      <c r="I342" s="202">
        <v>20</v>
      </c>
      <c r="J342" s="282">
        <v>10420</v>
      </c>
      <c r="K342" s="310" t="s">
        <v>96</v>
      </c>
      <c r="L342" s="284">
        <v>6000</v>
      </c>
    </row>
    <row r="343" spans="1:12" ht="22.5" customHeight="1">
      <c r="A343" s="176" t="s">
        <v>97</v>
      </c>
      <c r="B343" s="199">
        <v>45516</v>
      </c>
      <c r="C343" s="204" t="s">
        <v>98</v>
      </c>
      <c r="D343" s="205" t="s">
        <v>432</v>
      </c>
      <c r="E343" s="234">
        <v>12000</v>
      </c>
      <c r="F343" s="235"/>
      <c r="G343" s="232">
        <v>2</v>
      </c>
      <c r="H343" s="197">
        <f t="shared" si="92"/>
        <v>400</v>
      </c>
      <c r="I343" s="206">
        <v>20</v>
      </c>
      <c r="J343" s="282">
        <v>12400</v>
      </c>
      <c r="K343" s="288" t="s">
        <v>99</v>
      </c>
      <c r="L343" s="291"/>
    </row>
    <row r="344" spans="1:12" ht="22.5" customHeight="1">
      <c r="A344" s="176" t="s">
        <v>100</v>
      </c>
      <c r="B344" s="199"/>
      <c r="C344" s="236" t="s">
        <v>162</v>
      </c>
      <c r="D344" s="205"/>
      <c r="E344" s="206"/>
      <c r="F344" s="195"/>
      <c r="G344" s="232"/>
      <c r="H344" s="197"/>
      <c r="I344" s="206"/>
      <c r="J344" s="282"/>
      <c r="K344" s="311"/>
      <c r="L344" s="291"/>
    </row>
    <row r="345" spans="1:12" ht="22.5" customHeight="1">
      <c r="A345" s="176" t="s">
        <v>104</v>
      </c>
      <c r="B345" s="199">
        <v>45539</v>
      </c>
      <c r="C345" s="237" t="s">
        <v>105</v>
      </c>
      <c r="D345" s="205" t="s">
        <v>433</v>
      </c>
      <c r="E345" s="206">
        <v>12000</v>
      </c>
      <c r="F345" s="195"/>
      <c r="G345" s="238">
        <v>3</v>
      </c>
      <c r="H345" s="197">
        <f t="shared" ref="H345" si="93">SUM(G345*200)</f>
        <v>600</v>
      </c>
      <c r="I345" s="219">
        <v>20</v>
      </c>
      <c r="J345" s="282">
        <v>12620</v>
      </c>
      <c r="K345" s="311" t="s">
        <v>107</v>
      </c>
      <c r="L345" s="291">
        <v>12000</v>
      </c>
    </row>
    <row r="346" spans="1:12" ht="22.5" customHeight="1">
      <c r="A346" s="239"/>
      <c r="B346" s="240"/>
      <c r="C346" s="241" t="s">
        <v>108</v>
      </c>
      <c r="D346" s="242"/>
      <c r="E346" s="243">
        <f>SUM(E341:E345)</f>
        <v>44000</v>
      </c>
      <c r="F346" s="226"/>
      <c r="G346" s="226">
        <f>SUM(G341:G345)</f>
        <v>9</v>
      </c>
      <c r="H346" s="226">
        <f>SUM(H341:H345)</f>
        <v>1800</v>
      </c>
      <c r="I346" s="243">
        <f>SUM(I341:I345)</f>
        <v>80</v>
      </c>
      <c r="J346" s="226">
        <f>SUM(J341:J345)</f>
        <v>45860</v>
      </c>
      <c r="K346" s="306"/>
      <c r="L346" s="312">
        <f>SUM(L341:L345)</f>
        <v>28000</v>
      </c>
    </row>
    <row r="347" spans="1:12" ht="22.5" customHeight="1">
      <c r="A347" s="228" t="s">
        <v>109</v>
      </c>
      <c r="B347" s="244"/>
      <c r="C347" s="245"/>
      <c r="D347" s="205"/>
      <c r="E347" s="195"/>
      <c r="F347" s="195"/>
      <c r="G347" s="231"/>
      <c r="H347" s="195"/>
      <c r="I347" s="195"/>
      <c r="J347" s="195"/>
      <c r="K347" s="309"/>
      <c r="L347" s="313"/>
    </row>
    <row r="348" spans="1:12" ht="22.5" customHeight="1">
      <c r="A348" s="246" t="s">
        <v>110</v>
      </c>
      <c r="B348" s="329">
        <v>45544</v>
      </c>
      <c r="C348" s="248" t="s">
        <v>303</v>
      </c>
      <c r="D348" s="242" t="s">
        <v>417</v>
      </c>
      <c r="E348" s="243">
        <v>30000</v>
      </c>
      <c r="F348" s="226"/>
      <c r="G348" s="249">
        <v>7</v>
      </c>
      <c r="H348" s="226">
        <v>1400</v>
      </c>
      <c r="I348" s="243">
        <v>20</v>
      </c>
      <c r="J348" s="226">
        <v>31400</v>
      </c>
      <c r="K348" s="306" t="s">
        <v>304</v>
      </c>
      <c r="L348" s="312">
        <v>30000</v>
      </c>
    </row>
    <row r="349" spans="1:12" ht="22.5" customHeight="1">
      <c r="A349" s="228" t="s">
        <v>112</v>
      </c>
      <c r="B349" s="250"/>
      <c r="C349" s="245"/>
      <c r="D349" s="205"/>
      <c r="E349" s="195"/>
      <c r="F349" s="195"/>
      <c r="G349" s="231"/>
      <c r="H349" s="195"/>
      <c r="I349" s="195"/>
      <c r="J349" s="195"/>
      <c r="K349" s="309"/>
      <c r="L349" s="313"/>
    </row>
    <row r="350" spans="1:12" ht="22.5" customHeight="1">
      <c r="A350" s="176" t="s">
        <v>113</v>
      </c>
      <c r="B350" s="199">
        <v>45510</v>
      </c>
      <c r="C350" s="251" t="s">
        <v>114</v>
      </c>
      <c r="D350" s="177" t="s">
        <v>413</v>
      </c>
      <c r="E350" s="206">
        <v>12600</v>
      </c>
      <c r="F350" s="230"/>
      <c r="G350" s="209">
        <v>2</v>
      </c>
      <c r="H350" s="197">
        <f t="shared" ref="H350:H352" si="94">SUM(G350*200)</f>
        <v>400</v>
      </c>
      <c r="I350" s="314">
        <v>20</v>
      </c>
      <c r="J350" s="282">
        <v>12400</v>
      </c>
      <c r="K350" s="295" t="s">
        <v>115</v>
      </c>
      <c r="L350" s="291">
        <v>12000</v>
      </c>
    </row>
    <row r="351" spans="1:12" ht="22.5" customHeight="1">
      <c r="A351" s="176" t="s">
        <v>116</v>
      </c>
      <c r="B351" s="199">
        <v>45505</v>
      </c>
      <c r="C351" s="252" t="s">
        <v>117</v>
      </c>
      <c r="D351" s="205" t="s">
        <v>434</v>
      </c>
      <c r="E351" s="206">
        <v>7000</v>
      </c>
      <c r="F351" s="195"/>
      <c r="G351" s="209">
        <v>1</v>
      </c>
      <c r="H351" s="197">
        <f t="shared" si="94"/>
        <v>200</v>
      </c>
      <c r="I351" s="314">
        <v>20</v>
      </c>
      <c r="J351" s="282">
        <v>7220</v>
      </c>
      <c r="K351" s="288" t="s">
        <v>119</v>
      </c>
      <c r="L351" s="291">
        <v>7000</v>
      </c>
    </row>
    <row r="352" spans="1:12" ht="22.5" customHeight="1">
      <c r="A352" s="176" t="s">
        <v>120</v>
      </c>
      <c r="B352" s="199">
        <v>45535</v>
      </c>
      <c r="C352" s="253" t="s">
        <v>121</v>
      </c>
      <c r="D352" s="177" t="s">
        <v>409</v>
      </c>
      <c r="E352" s="209">
        <v>10000</v>
      </c>
      <c r="F352" s="254"/>
      <c r="G352" s="209">
        <v>2</v>
      </c>
      <c r="H352" s="197">
        <f t="shared" si="94"/>
        <v>400</v>
      </c>
      <c r="I352" s="315">
        <v>20</v>
      </c>
      <c r="J352" s="254">
        <v>10420</v>
      </c>
      <c r="K352" s="316" t="s">
        <v>122</v>
      </c>
      <c r="L352" s="291">
        <v>10000</v>
      </c>
    </row>
    <row r="353" spans="1:12" ht="22.5" customHeight="1">
      <c r="A353" s="246"/>
      <c r="B353" s="247"/>
      <c r="C353" s="255"/>
      <c r="D353" s="242"/>
      <c r="E353" s="256">
        <f>SUM(E350:E352)</f>
        <v>29600</v>
      </c>
      <c r="F353" s="257"/>
      <c r="G353" s="256">
        <f>SUM(G350:G352)</f>
        <v>5</v>
      </c>
      <c r="H353" s="257">
        <f>SUM(H350:H352)</f>
        <v>1000</v>
      </c>
      <c r="I353" s="257">
        <f>SUM(I350:I352)</f>
        <v>60</v>
      </c>
      <c r="J353" s="257">
        <f>SUM(J350:J352)</f>
        <v>30040</v>
      </c>
      <c r="K353" s="317"/>
      <c r="L353" s="312">
        <f>SUM(L350:L352)</f>
        <v>29000</v>
      </c>
    </row>
    <row r="354" spans="1:12" ht="22.5" customHeight="1">
      <c r="B354" s="244"/>
      <c r="C354" s="80"/>
      <c r="D354" s="258"/>
      <c r="E354" s="259">
        <f>SUM(E339,E346,E348,E353)</f>
        <v>254850</v>
      </c>
      <c r="F354" s="260"/>
      <c r="G354" s="259">
        <f>SUM(G339,G346,G348,G353)</f>
        <v>55</v>
      </c>
      <c r="H354" s="259">
        <f>SUM(H339,H346,H348,H353)</f>
        <v>11000</v>
      </c>
      <c r="I354" s="318">
        <f>SUM(I339,I346,I348,I353)</f>
        <v>560</v>
      </c>
      <c r="J354" s="259">
        <f>SUM(J339,J346,J348,J353)</f>
        <v>265210</v>
      </c>
      <c r="K354" s="319"/>
      <c r="L354" s="291"/>
    </row>
    <row r="355" spans="1:12" ht="22.5" customHeight="1">
      <c r="A355" s="228" t="s">
        <v>123</v>
      </c>
      <c r="B355" s="261"/>
      <c r="C355" s="262"/>
      <c r="D355" s="15"/>
      <c r="E355" s="195"/>
      <c r="F355" s="263" t="s">
        <v>124</v>
      </c>
      <c r="G355" s="264"/>
      <c r="H355" s="195"/>
      <c r="I355" s="195"/>
      <c r="J355" s="230"/>
      <c r="K355" s="309"/>
      <c r="L355" s="284"/>
    </row>
    <row r="356" spans="1:12" ht="22.5" customHeight="1">
      <c r="A356" s="176" t="s">
        <v>125</v>
      </c>
      <c r="B356" s="199">
        <v>45511</v>
      </c>
      <c r="C356" s="265" t="s">
        <v>126</v>
      </c>
      <c r="D356" s="205" t="s">
        <v>435</v>
      </c>
      <c r="E356" s="202">
        <v>5000</v>
      </c>
      <c r="F356" s="266">
        <v>2285.7600000000002</v>
      </c>
      <c r="G356" s="203">
        <v>2</v>
      </c>
      <c r="H356" s="266">
        <f t="shared" ref="H356:H357" si="95">SUM(G356*200)</f>
        <v>400</v>
      </c>
      <c r="I356" s="202">
        <v>20</v>
      </c>
      <c r="J356" s="282">
        <f>SUM(E356,F356,H356,I356)</f>
        <v>7705.76</v>
      </c>
      <c r="K356" s="319" t="s">
        <v>128</v>
      </c>
      <c r="L356" s="284">
        <v>5000</v>
      </c>
    </row>
    <row r="357" spans="1:12" ht="22.5" customHeight="1">
      <c r="A357" s="176" t="s">
        <v>129</v>
      </c>
      <c r="B357" s="199">
        <v>45539</v>
      </c>
      <c r="C357" s="265" t="s">
        <v>130</v>
      </c>
      <c r="D357" s="205" t="s">
        <v>436</v>
      </c>
      <c r="E357" s="206">
        <v>5500</v>
      </c>
      <c r="F357" s="195"/>
      <c r="G357" s="203">
        <v>1</v>
      </c>
      <c r="H357" s="266">
        <f t="shared" si="95"/>
        <v>200</v>
      </c>
      <c r="I357" s="206">
        <v>20</v>
      </c>
      <c r="J357" s="282">
        <f>SUM(E357,H357:I357)</f>
        <v>5720</v>
      </c>
      <c r="K357" s="319" t="s">
        <v>132</v>
      </c>
      <c r="L357" s="291">
        <v>5500</v>
      </c>
    </row>
    <row r="358" spans="1:12" ht="22.5" customHeight="1">
      <c r="A358" s="267" t="s">
        <v>133</v>
      </c>
      <c r="B358" s="268"/>
      <c r="C358" s="269"/>
      <c r="D358" s="242"/>
      <c r="E358" s="270">
        <f>SUM(E356:E357)</f>
        <v>10500</v>
      </c>
      <c r="F358" s="226">
        <f t="shared" ref="F358:I358" si="96">SUM(F356:F357)</f>
        <v>2285.7600000000002</v>
      </c>
      <c r="G358" s="243">
        <f t="shared" si="96"/>
        <v>3</v>
      </c>
      <c r="H358" s="226">
        <f t="shared" si="96"/>
        <v>600</v>
      </c>
      <c r="I358" s="320">
        <f t="shared" si="96"/>
        <v>40</v>
      </c>
      <c r="J358" s="321">
        <f>SUM(F358,H358,I358,)</f>
        <v>2925.76</v>
      </c>
      <c r="K358" s="322"/>
      <c r="L358" s="323"/>
    </row>
    <row r="359" spans="1:12" ht="22.5" customHeight="1">
      <c r="E359" s="271" t="s">
        <v>134</v>
      </c>
      <c r="F359" s="272">
        <f>SUM(F354,F358)</f>
        <v>2285.7600000000002</v>
      </c>
      <c r="H359" s="272">
        <f>SUM(H354,H358)</f>
        <v>11600</v>
      </c>
      <c r="I359" s="324">
        <f>SUM(I354,I358)</f>
        <v>600</v>
      </c>
      <c r="J359" s="325" t="s">
        <v>135</v>
      </c>
      <c r="L359" s="326"/>
    </row>
    <row r="360" spans="1:12" ht="22.5" customHeight="1"/>
    <row r="361" spans="1:12" ht="22.5" customHeight="1">
      <c r="A361" s="185" t="s">
        <v>8</v>
      </c>
      <c r="B361" s="186" t="s">
        <v>437</v>
      </c>
      <c r="C361" s="187"/>
      <c r="D361" s="187"/>
      <c r="E361" s="187"/>
      <c r="F361" s="273"/>
      <c r="G361" s="189"/>
      <c r="H361" s="273"/>
      <c r="I361" s="187"/>
      <c r="J361" s="187"/>
      <c r="K361" s="187"/>
      <c r="L361" s="187"/>
    </row>
    <row r="362" spans="1:12" ht="22.5" customHeight="1">
      <c r="A362" s="190" t="s">
        <v>10</v>
      </c>
      <c r="B362" s="191">
        <v>45565</v>
      </c>
      <c r="C362" s="192" t="s">
        <v>438</v>
      </c>
      <c r="D362" s="193" t="s">
        <v>439</v>
      </c>
      <c r="E362" s="194">
        <v>8000</v>
      </c>
      <c r="F362" s="195">
        <f>SUM(E362*0.5)</f>
        <v>4000</v>
      </c>
      <c r="G362" s="196">
        <v>1</v>
      </c>
      <c r="H362" s="197">
        <f t="shared" ref="H362:H364" si="97">SUM(G362*200)</f>
        <v>200</v>
      </c>
      <c r="I362" s="194">
        <v>20</v>
      </c>
      <c r="J362" s="279">
        <v>8220</v>
      </c>
      <c r="K362" s="280" t="s">
        <v>13</v>
      </c>
      <c r="L362" s="281">
        <v>8000</v>
      </c>
    </row>
    <row r="363" spans="1:12" ht="22.5" customHeight="1">
      <c r="A363" s="198" t="s">
        <v>14</v>
      </c>
      <c r="B363" s="199">
        <v>45562</v>
      </c>
      <c r="C363" s="200" t="s">
        <v>440</v>
      </c>
      <c r="D363" s="201" t="s">
        <v>441</v>
      </c>
      <c r="E363" s="202">
        <v>8500</v>
      </c>
      <c r="F363" s="195">
        <f t="shared" ref="F363" si="98">SUM(E363*0.5)</f>
        <v>4250</v>
      </c>
      <c r="G363" s="203">
        <v>3</v>
      </c>
      <c r="H363" s="197">
        <f t="shared" si="97"/>
        <v>600</v>
      </c>
      <c r="I363" s="206">
        <v>20</v>
      </c>
      <c r="J363" s="282">
        <v>8620</v>
      </c>
      <c r="K363" s="283" t="s">
        <v>314</v>
      </c>
      <c r="L363" s="284">
        <v>8500</v>
      </c>
    </row>
    <row r="364" spans="1:12" ht="22.5" customHeight="1">
      <c r="A364" s="190" t="s">
        <v>18</v>
      </c>
      <c r="B364" s="199">
        <v>45565</v>
      </c>
      <c r="C364" s="204" t="s">
        <v>442</v>
      </c>
      <c r="D364" s="205" t="s">
        <v>443</v>
      </c>
      <c r="E364" s="202">
        <v>8000</v>
      </c>
      <c r="F364" s="195">
        <f t="shared" ref="F364:F383" si="99">SUM(E364*0.5)</f>
        <v>4000</v>
      </c>
      <c r="G364" s="203">
        <v>1</v>
      </c>
      <c r="H364" s="197">
        <f t="shared" si="97"/>
        <v>200</v>
      </c>
      <c r="I364" s="206">
        <v>20</v>
      </c>
      <c r="J364" s="282">
        <f>SUM(E364,H364:I364)</f>
        <v>8220</v>
      </c>
      <c r="K364" s="288" t="s">
        <v>21</v>
      </c>
      <c r="L364" s="284">
        <v>8000</v>
      </c>
    </row>
    <row r="365" spans="1:12" ht="22.5" customHeight="1">
      <c r="A365" s="190" t="s">
        <v>22</v>
      </c>
      <c r="B365" s="199">
        <v>45547</v>
      </c>
      <c r="C365" s="26" t="s">
        <v>444</v>
      </c>
      <c r="D365" s="205" t="s">
        <v>445</v>
      </c>
      <c r="E365" s="206">
        <v>7250</v>
      </c>
      <c r="F365" s="195">
        <f t="shared" si="99"/>
        <v>3625</v>
      </c>
      <c r="G365" s="203">
        <v>1</v>
      </c>
      <c r="H365" s="197">
        <f t="shared" ref="H365:H383" si="100">SUM(G365*200)</f>
        <v>200</v>
      </c>
      <c r="I365" s="206">
        <v>20</v>
      </c>
      <c r="J365" s="282">
        <f>SUM(E365,H365:I365)</f>
        <v>7470</v>
      </c>
      <c r="K365" s="290" t="s">
        <v>25</v>
      </c>
      <c r="L365" s="291">
        <v>5000</v>
      </c>
    </row>
    <row r="366" spans="1:12" ht="22.5" customHeight="1">
      <c r="A366" s="190" t="s">
        <v>26</v>
      </c>
      <c r="B366" s="199"/>
      <c r="C366" s="207" t="s">
        <v>162</v>
      </c>
      <c r="D366" s="208"/>
      <c r="E366" s="209"/>
      <c r="F366" s="195"/>
      <c r="G366" s="210"/>
      <c r="H366" s="197"/>
      <c r="I366" s="209"/>
      <c r="J366" s="254"/>
      <c r="K366" s="24"/>
      <c r="L366" s="291"/>
    </row>
    <row r="367" spans="1:12" ht="22.5" customHeight="1">
      <c r="A367" s="190" t="s">
        <v>30</v>
      </c>
      <c r="B367" s="199">
        <v>45740</v>
      </c>
      <c r="C367" s="204" t="s">
        <v>1089</v>
      </c>
      <c r="D367" s="205" t="s">
        <v>1091</v>
      </c>
      <c r="E367" s="209">
        <v>6500</v>
      </c>
      <c r="F367" s="195">
        <v>3250</v>
      </c>
      <c r="G367" s="210">
        <v>0</v>
      </c>
      <c r="H367" s="197"/>
      <c r="I367" s="209"/>
      <c r="J367" s="254">
        <v>6500</v>
      </c>
      <c r="K367" s="294" t="s">
        <v>1070</v>
      </c>
      <c r="L367" s="287">
        <v>6500</v>
      </c>
    </row>
    <row r="368" spans="1:12" ht="22.5" customHeight="1">
      <c r="A368" s="190" t="s">
        <v>33</v>
      </c>
      <c r="B368" s="199">
        <v>45565</v>
      </c>
      <c r="C368" s="204" t="s">
        <v>446</v>
      </c>
      <c r="D368" s="205" t="s">
        <v>447</v>
      </c>
      <c r="E368" s="202">
        <v>6000</v>
      </c>
      <c r="F368" s="195">
        <f t="shared" si="99"/>
        <v>3000</v>
      </c>
      <c r="G368" s="210">
        <v>1</v>
      </c>
      <c r="H368" s="197">
        <f t="shared" si="100"/>
        <v>200</v>
      </c>
      <c r="I368" s="202">
        <v>20</v>
      </c>
      <c r="J368" s="197">
        <v>6220</v>
      </c>
      <c r="K368" s="288" t="s">
        <v>17</v>
      </c>
      <c r="L368" s="284">
        <v>6000</v>
      </c>
    </row>
    <row r="369" spans="1:17" ht="22.5" customHeight="1">
      <c r="A369" s="190" t="s">
        <v>35</v>
      </c>
      <c r="B369" s="199">
        <v>45562</v>
      </c>
      <c r="C369" s="211" t="s">
        <v>448</v>
      </c>
      <c r="D369" s="177" t="s">
        <v>449</v>
      </c>
      <c r="E369" s="212">
        <v>6000</v>
      </c>
      <c r="F369" s="195">
        <f t="shared" si="99"/>
        <v>3000</v>
      </c>
      <c r="G369" s="210">
        <v>1</v>
      </c>
      <c r="H369" s="197">
        <f t="shared" si="100"/>
        <v>200</v>
      </c>
      <c r="I369" s="206">
        <v>20</v>
      </c>
      <c r="J369" s="282">
        <v>6220</v>
      </c>
      <c r="K369" s="295" t="s">
        <v>38</v>
      </c>
      <c r="L369" s="284">
        <v>6000</v>
      </c>
    </row>
    <row r="370" spans="1:17" ht="22.5" customHeight="1">
      <c r="A370" s="213" t="s">
        <v>39</v>
      </c>
      <c r="B370" s="199">
        <v>45565</v>
      </c>
      <c r="C370" s="14" t="s">
        <v>450</v>
      </c>
      <c r="D370" s="205" t="s">
        <v>451</v>
      </c>
      <c r="E370" s="202">
        <v>8000</v>
      </c>
      <c r="F370" s="195">
        <f t="shared" si="99"/>
        <v>4000</v>
      </c>
      <c r="G370" s="203">
        <v>1</v>
      </c>
      <c r="H370" s="197">
        <f t="shared" si="100"/>
        <v>200</v>
      </c>
      <c r="I370" s="202">
        <v>20</v>
      </c>
      <c r="J370" s="282">
        <f>SUM(E370,H370:I370)</f>
        <v>8220</v>
      </c>
      <c r="K370" s="288" t="s">
        <v>42</v>
      </c>
      <c r="L370" s="284">
        <v>8000</v>
      </c>
    </row>
    <row r="371" spans="1:17" ht="22.5" customHeight="1">
      <c r="A371" s="213" t="s">
        <v>43</v>
      </c>
      <c r="B371" s="199">
        <v>45565</v>
      </c>
      <c r="C371" s="204" t="s">
        <v>452</v>
      </c>
      <c r="D371" s="14" t="s">
        <v>453</v>
      </c>
      <c r="E371" s="202">
        <v>8000</v>
      </c>
      <c r="F371" s="195">
        <f t="shared" si="99"/>
        <v>4000</v>
      </c>
      <c r="G371" s="203">
        <v>2</v>
      </c>
      <c r="H371" s="197">
        <f t="shared" si="100"/>
        <v>400</v>
      </c>
      <c r="I371" s="206">
        <v>20</v>
      </c>
      <c r="J371" s="282">
        <f>SUM(E371,H371:I371)</f>
        <v>8420</v>
      </c>
      <c r="K371" s="288" t="s">
        <v>46</v>
      </c>
      <c r="L371" s="284">
        <v>8000</v>
      </c>
    </row>
    <row r="372" spans="1:17" ht="22.5" customHeight="1">
      <c r="A372" s="213" t="s">
        <v>47</v>
      </c>
      <c r="B372" s="199">
        <v>45566</v>
      </c>
      <c r="C372" s="204" t="s">
        <v>454</v>
      </c>
      <c r="D372" s="205" t="s">
        <v>455</v>
      </c>
      <c r="E372" s="202">
        <v>8000</v>
      </c>
      <c r="F372" s="195">
        <f t="shared" si="99"/>
        <v>4000</v>
      </c>
      <c r="G372" s="203">
        <v>2</v>
      </c>
      <c r="H372" s="197">
        <f t="shared" si="100"/>
        <v>400</v>
      </c>
      <c r="I372" s="202">
        <v>20</v>
      </c>
      <c r="J372" s="282">
        <v>8420</v>
      </c>
      <c r="K372" s="288" t="s">
        <v>50</v>
      </c>
      <c r="L372" s="291">
        <v>8000</v>
      </c>
    </row>
    <row r="373" spans="1:17" ht="22.5" customHeight="1">
      <c r="A373" s="213" t="s">
        <v>51</v>
      </c>
      <c r="B373" s="199">
        <v>45563</v>
      </c>
      <c r="C373" s="207" t="s">
        <v>456</v>
      </c>
      <c r="D373" s="205" t="s">
        <v>457</v>
      </c>
      <c r="E373" s="212">
        <v>8500</v>
      </c>
      <c r="F373" s="195">
        <f t="shared" si="99"/>
        <v>4250</v>
      </c>
      <c r="G373" s="210">
        <v>4</v>
      </c>
      <c r="H373" s="197">
        <f t="shared" si="100"/>
        <v>800</v>
      </c>
      <c r="I373" s="212">
        <v>20</v>
      </c>
      <c r="J373" s="282">
        <v>9300</v>
      </c>
      <c r="K373" s="295" t="s">
        <v>54</v>
      </c>
      <c r="L373" s="284">
        <v>8500</v>
      </c>
    </row>
    <row r="374" spans="1:17" ht="22.5" customHeight="1">
      <c r="A374" s="213" t="s">
        <v>55</v>
      </c>
      <c r="B374" s="199">
        <v>45565</v>
      </c>
      <c r="C374" s="204" t="s">
        <v>458</v>
      </c>
      <c r="D374" s="205" t="s">
        <v>459</v>
      </c>
      <c r="E374" s="202">
        <v>7500</v>
      </c>
      <c r="F374" s="195">
        <f t="shared" si="99"/>
        <v>3750</v>
      </c>
      <c r="G374" s="203">
        <v>2</v>
      </c>
      <c r="H374" s="197">
        <f t="shared" si="100"/>
        <v>400</v>
      </c>
      <c r="I374" s="206">
        <v>20</v>
      </c>
      <c r="J374" s="282">
        <v>7920</v>
      </c>
      <c r="K374" s="288" t="s">
        <v>57</v>
      </c>
      <c r="L374" s="284">
        <v>7500</v>
      </c>
    </row>
    <row r="375" spans="1:17" ht="22.5" customHeight="1">
      <c r="A375" s="213" t="s">
        <v>58</v>
      </c>
      <c r="B375" s="199">
        <v>45561</v>
      </c>
      <c r="C375" s="204" t="s">
        <v>421</v>
      </c>
      <c r="D375" s="205" t="s">
        <v>460</v>
      </c>
      <c r="E375" s="202">
        <v>6500</v>
      </c>
      <c r="F375" s="195">
        <f t="shared" si="99"/>
        <v>3250</v>
      </c>
      <c r="G375" s="203">
        <v>0</v>
      </c>
      <c r="H375" s="197">
        <f t="shared" si="100"/>
        <v>0</v>
      </c>
      <c r="I375" s="206">
        <v>20</v>
      </c>
      <c r="J375" s="254">
        <v>6520</v>
      </c>
      <c r="K375" s="296" t="s">
        <v>378</v>
      </c>
      <c r="L375" s="284">
        <v>6500</v>
      </c>
    </row>
    <row r="376" spans="1:17" ht="22.5" customHeight="1">
      <c r="A376" s="213" t="s">
        <v>60</v>
      </c>
      <c r="B376" s="199"/>
      <c r="C376" s="204" t="s">
        <v>162</v>
      </c>
      <c r="D376" s="205"/>
      <c r="E376" s="202"/>
      <c r="F376" s="195"/>
      <c r="G376" s="203"/>
      <c r="H376" s="197"/>
      <c r="I376" s="206"/>
      <c r="J376" s="282"/>
      <c r="K376" s="288"/>
      <c r="L376" s="284"/>
    </row>
    <row r="377" spans="1:17" ht="22.5" customHeight="1">
      <c r="A377" s="214" t="s">
        <v>63</v>
      </c>
      <c r="B377" s="199">
        <v>45565</v>
      </c>
      <c r="C377" s="204" t="s">
        <v>461</v>
      </c>
      <c r="D377" s="205" t="s">
        <v>462</v>
      </c>
      <c r="E377" s="206">
        <v>9000</v>
      </c>
      <c r="F377" s="195">
        <f t="shared" si="99"/>
        <v>4500</v>
      </c>
      <c r="G377" s="203">
        <v>4</v>
      </c>
      <c r="H377" s="197">
        <f t="shared" si="100"/>
        <v>800</v>
      </c>
      <c r="I377" s="206">
        <v>20</v>
      </c>
      <c r="J377" s="282">
        <v>9820</v>
      </c>
      <c r="K377" s="288" t="s">
        <v>287</v>
      </c>
      <c r="L377" s="291">
        <v>9000</v>
      </c>
    </row>
    <row r="378" spans="1:17" ht="22.5" customHeight="1">
      <c r="A378" s="214" t="s">
        <v>67</v>
      </c>
      <c r="B378" s="199">
        <v>45565</v>
      </c>
      <c r="C378" s="204" t="s">
        <v>463</v>
      </c>
      <c r="D378" s="205" t="s">
        <v>471</v>
      </c>
      <c r="E378" s="206">
        <v>8500</v>
      </c>
      <c r="F378" s="195">
        <f t="shared" si="99"/>
        <v>4250</v>
      </c>
      <c r="G378" s="203">
        <v>4</v>
      </c>
      <c r="H378" s="197">
        <f t="shared" si="100"/>
        <v>800</v>
      </c>
      <c r="I378" s="206">
        <v>20</v>
      </c>
      <c r="J378" s="282">
        <v>9300</v>
      </c>
      <c r="K378" s="295" t="s">
        <v>290</v>
      </c>
      <c r="L378" s="284">
        <v>8500</v>
      </c>
    </row>
    <row r="379" spans="1:17" ht="22.5" customHeight="1">
      <c r="A379" s="214" t="s">
        <v>71</v>
      </c>
      <c r="B379" s="199">
        <v>45565</v>
      </c>
      <c r="C379" s="204" t="s">
        <v>464</v>
      </c>
      <c r="D379" s="205" t="s">
        <v>471</v>
      </c>
      <c r="E379" s="206">
        <v>8500</v>
      </c>
      <c r="F379" s="195">
        <f t="shared" si="99"/>
        <v>4250</v>
      </c>
      <c r="G379" s="203">
        <v>0</v>
      </c>
      <c r="H379" s="197">
        <f t="shared" si="100"/>
        <v>0</v>
      </c>
      <c r="I379" s="206">
        <v>20</v>
      </c>
      <c r="J379" s="282">
        <v>8520</v>
      </c>
      <c r="K379" s="288" t="s">
        <v>383</v>
      </c>
      <c r="L379" s="291">
        <v>8500</v>
      </c>
      <c r="M379"/>
      <c r="O379"/>
      <c r="P379"/>
      <c r="Q379"/>
    </row>
    <row r="380" spans="1:17" ht="22.5" customHeight="1">
      <c r="A380" s="214" t="s">
        <v>74</v>
      </c>
      <c r="B380" s="199">
        <v>45565</v>
      </c>
      <c r="C380" s="204" t="s">
        <v>465</v>
      </c>
      <c r="D380" s="205" t="s">
        <v>447</v>
      </c>
      <c r="E380" s="206">
        <v>8000</v>
      </c>
      <c r="F380" s="195">
        <f t="shared" si="99"/>
        <v>4000</v>
      </c>
      <c r="G380" s="203">
        <v>2</v>
      </c>
      <c r="H380" s="197">
        <f t="shared" si="100"/>
        <v>400</v>
      </c>
      <c r="I380" s="206">
        <v>20</v>
      </c>
      <c r="J380" s="282">
        <f>SUM(E380,H380:I380)</f>
        <v>8420</v>
      </c>
      <c r="K380" s="288" t="s">
        <v>76</v>
      </c>
      <c r="L380" s="291">
        <v>8000</v>
      </c>
    </row>
    <row r="381" spans="1:17" ht="22.5" customHeight="1">
      <c r="A381" s="214" t="s">
        <v>77</v>
      </c>
      <c r="B381" s="199">
        <v>45539</v>
      </c>
      <c r="C381" s="207" t="s">
        <v>466</v>
      </c>
      <c r="D381" s="205" t="s">
        <v>467</v>
      </c>
      <c r="E381" s="206">
        <v>8000</v>
      </c>
      <c r="F381" s="195">
        <f t="shared" ref="F381" si="101">SUM(E381*0.5)</f>
        <v>4000</v>
      </c>
      <c r="G381" s="203">
        <v>2</v>
      </c>
      <c r="H381" s="197">
        <f t="shared" ref="H381" si="102">SUM(G381*200)</f>
        <v>400</v>
      </c>
      <c r="I381" s="206">
        <v>20</v>
      </c>
      <c r="J381" s="282">
        <f>SUM(E381,H381:I381)</f>
        <v>8420</v>
      </c>
      <c r="K381" s="288" t="s">
        <v>340</v>
      </c>
      <c r="L381" s="291">
        <v>8000</v>
      </c>
    </row>
    <row r="382" spans="1:17" ht="22.5" customHeight="1">
      <c r="A382" s="214" t="s">
        <v>81</v>
      </c>
      <c r="B382" s="199">
        <v>45562</v>
      </c>
      <c r="C382" s="207" t="s">
        <v>468</v>
      </c>
      <c r="D382" s="177" t="s">
        <v>469</v>
      </c>
      <c r="E382" s="209">
        <v>6000</v>
      </c>
      <c r="F382" s="195">
        <f t="shared" si="99"/>
        <v>3000</v>
      </c>
      <c r="G382" s="210">
        <v>1</v>
      </c>
      <c r="H382" s="197">
        <f t="shared" si="100"/>
        <v>200</v>
      </c>
      <c r="I382" s="206">
        <v>20</v>
      </c>
      <c r="J382" s="282">
        <v>6220</v>
      </c>
      <c r="K382" s="295" t="s">
        <v>83</v>
      </c>
      <c r="L382" s="291">
        <v>6000</v>
      </c>
    </row>
    <row r="383" spans="1:17" ht="22.5" customHeight="1">
      <c r="A383" s="215" t="s">
        <v>84</v>
      </c>
      <c r="B383" s="216">
        <v>45565</v>
      </c>
      <c r="C383" s="217" t="s">
        <v>470</v>
      </c>
      <c r="D383" s="218" t="s">
        <v>471</v>
      </c>
      <c r="E383" s="219">
        <v>6500</v>
      </c>
      <c r="F383" s="195">
        <f t="shared" si="99"/>
        <v>3250</v>
      </c>
      <c r="G383" s="220">
        <v>1</v>
      </c>
      <c r="H383" s="197">
        <f t="shared" si="100"/>
        <v>200</v>
      </c>
      <c r="I383" s="219">
        <v>20</v>
      </c>
      <c r="J383" s="303">
        <v>6720</v>
      </c>
      <c r="K383" s="304" t="s">
        <v>390</v>
      </c>
      <c r="L383" s="305">
        <v>6500</v>
      </c>
    </row>
    <row r="384" spans="1:17" ht="22.5" customHeight="1">
      <c r="A384" s="221"/>
      <c r="B384" s="222"/>
      <c r="C384" s="223"/>
      <c r="D384" s="224"/>
      <c r="E384" s="225">
        <f>SUM(E362:E383)</f>
        <v>151250</v>
      </c>
      <c r="F384" s="226">
        <f>SUM(F362:F383)</f>
        <v>75625</v>
      </c>
      <c r="G384" s="225">
        <f t="shared" ref="G384:J384" si="103">SUM(G362:G383)</f>
        <v>33</v>
      </c>
      <c r="H384" s="227">
        <f t="shared" si="103"/>
        <v>6600</v>
      </c>
      <c r="I384" s="225">
        <f t="shared" si="103"/>
        <v>380</v>
      </c>
      <c r="J384" s="227">
        <f t="shared" si="103"/>
        <v>157690</v>
      </c>
      <c r="K384" s="306"/>
      <c r="L384" s="307">
        <f>SUM(L362:L383)</f>
        <v>149000</v>
      </c>
    </row>
    <row r="385" spans="1:12" ht="22.5" customHeight="1">
      <c r="A385" s="228" t="s">
        <v>88</v>
      </c>
      <c r="B385" s="229"/>
      <c r="C385" s="230"/>
      <c r="D385" s="205"/>
      <c r="E385" s="195"/>
      <c r="F385" s="195"/>
      <c r="G385" s="231"/>
      <c r="H385" s="195"/>
      <c r="I385" s="195"/>
      <c r="J385" s="230"/>
      <c r="K385" s="309"/>
      <c r="L385" s="291"/>
    </row>
    <row r="386" spans="1:12" ht="22.5" customHeight="1">
      <c r="A386" s="176" t="s">
        <v>89</v>
      </c>
      <c r="B386" s="199">
        <v>45545</v>
      </c>
      <c r="C386" s="204" t="s">
        <v>90</v>
      </c>
      <c r="D386" s="205" t="s">
        <v>472</v>
      </c>
      <c r="E386" s="206">
        <v>10000</v>
      </c>
      <c r="F386" s="195"/>
      <c r="G386" s="232">
        <v>2</v>
      </c>
      <c r="H386" s="197">
        <f t="shared" ref="H386:H389" si="104">SUM(G386*200)</f>
        <v>400</v>
      </c>
      <c r="I386" s="206">
        <v>20</v>
      </c>
      <c r="J386" s="282">
        <v>10420</v>
      </c>
      <c r="K386" s="288" t="s">
        <v>92</v>
      </c>
      <c r="L386" s="291">
        <v>10000</v>
      </c>
    </row>
    <row r="387" spans="1:12" ht="22.5" customHeight="1">
      <c r="A387" s="176" t="s">
        <v>93</v>
      </c>
      <c r="B387" s="199">
        <v>45539</v>
      </c>
      <c r="C387" s="207" t="s">
        <v>94</v>
      </c>
      <c r="D387" s="177" t="s">
        <v>473</v>
      </c>
      <c r="E387" s="212">
        <v>10000</v>
      </c>
      <c r="F387" s="233"/>
      <c r="G387" s="210">
        <v>2</v>
      </c>
      <c r="H387" s="197">
        <f t="shared" si="104"/>
        <v>400</v>
      </c>
      <c r="I387" s="202">
        <v>20</v>
      </c>
      <c r="J387" s="282">
        <v>10420</v>
      </c>
      <c r="K387" s="310" t="s">
        <v>96</v>
      </c>
      <c r="L387" s="284">
        <v>6000</v>
      </c>
    </row>
    <row r="388" spans="1:12" ht="22.5" customHeight="1">
      <c r="A388" s="176" t="s">
        <v>97</v>
      </c>
      <c r="B388" s="199">
        <v>45552</v>
      </c>
      <c r="C388" s="204" t="s">
        <v>98</v>
      </c>
      <c r="D388" s="205" t="s">
        <v>449</v>
      </c>
      <c r="E388" s="234">
        <v>12000</v>
      </c>
      <c r="F388" s="235"/>
      <c r="G388" s="232">
        <v>2</v>
      </c>
      <c r="H388" s="197">
        <f t="shared" si="104"/>
        <v>400</v>
      </c>
      <c r="I388" s="206">
        <v>20</v>
      </c>
      <c r="J388" s="282">
        <v>12400</v>
      </c>
      <c r="K388" s="288" t="s">
        <v>99</v>
      </c>
      <c r="L388" s="291"/>
    </row>
    <row r="389" spans="1:12" ht="22.5" customHeight="1">
      <c r="A389" s="176" t="s">
        <v>100</v>
      </c>
      <c r="B389" s="199">
        <v>45562</v>
      </c>
      <c r="C389" s="236" t="s">
        <v>474</v>
      </c>
      <c r="D389" s="205" t="s">
        <v>475</v>
      </c>
      <c r="E389" s="206">
        <v>12000</v>
      </c>
      <c r="F389" s="195"/>
      <c r="G389" s="232">
        <v>0</v>
      </c>
      <c r="H389" s="197">
        <f t="shared" si="104"/>
        <v>0</v>
      </c>
      <c r="I389" s="206"/>
      <c r="J389" s="282">
        <v>12000</v>
      </c>
      <c r="K389" s="311" t="s">
        <v>476</v>
      </c>
      <c r="L389" s="291"/>
    </row>
    <row r="390" spans="1:12" ht="22.5" customHeight="1">
      <c r="A390" s="176" t="s">
        <v>104</v>
      </c>
      <c r="B390" s="199">
        <v>45569</v>
      </c>
      <c r="C390" s="237" t="s">
        <v>105</v>
      </c>
      <c r="D390" s="205" t="s">
        <v>477</v>
      </c>
      <c r="E390" s="206">
        <v>12000</v>
      </c>
      <c r="F390" s="195"/>
      <c r="G390" s="238">
        <v>3</v>
      </c>
      <c r="H390" s="197">
        <f t="shared" ref="H390" si="105">SUM(G390*200)</f>
        <v>600</v>
      </c>
      <c r="I390" s="219">
        <v>20</v>
      </c>
      <c r="J390" s="282">
        <v>12620</v>
      </c>
      <c r="K390" s="311" t="s">
        <v>107</v>
      </c>
      <c r="L390" s="291">
        <v>12000</v>
      </c>
    </row>
    <row r="391" spans="1:12" ht="22.5" customHeight="1">
      <c r="A391" s="239"/>
      <c r="B391" s="240"/>
      <c r="C391" s="241" t="s">
        <v>108</v>
      </c>
      <c r="D391" s="242"/>
      <c r="E391" s="243">
        <f>SUM(E386:E390)</f>
        <v>56000</v>
      </c>
      <c r="F391" s="226"/>
      <c r="G391" s="226">
        <f>SUM(G386:G390)</f>
        <v>9</v>
      </c>
      <c r="H391" s="226">
        <f>SUM(H386:H390)</f>
        <v>1800</v>
      </c>
      <c r="I391" s="243">
        <f>SUM(I386:I390)</f>
        <v>80</v>
      </c>
      <c r="J391" s="226">
        <f>SUM(J386:J390)</f>
        <v>57860</v>
      </c>
      <c r="K391" s="306"/>
      <c r="L391" s="312">
        <f>SUM(L386:L390)</f>
        <v>28000</v>
      </c>
    </row>
    <row r="392" spans="1:12" ht="22.5" customHeight="1">
      <c r="A392" s="228" t="s">
        <v>109</v>
      </c>
      <c r="B392" s="244"/>
      <c r="C392" s="245"/>
      <c r="D392" s="205"/>
      <c r="E392" s="195"/>
      <c r="F392" s="195"/>
      <c r="G392" s="231"/>
      <c r="H392" s="195"/>
      <c r="I392" s="195"/>
      <c r="J392" s="195"/>
      <c r="K392" s="309"/>
      <c r="L392" s="313"/>
    </row>
    <row r="393" spans="1:12" ht="22.5" customHeight="1">
      <c r="A393" s="246" t="s">
        <v>110</v>
      </c>
      <c r="B393" s="329">
        <v>45576</v>
      </c>
      <c r="C393" s="248" t="s">
        <v>303</v>
      </c>
      <c r="D393" s="242" t="s">
        <v>478</v>
      </c>
      <c r="E393" s="243">
        <v>30000</v>
      </c>
      <c r="F393" s="226"/>
      <c r="G393" s="249">
        <v>7</v>
      </c>
      <c r="H393" s="226">
        <v>1400</v>
      </c>
      <c r="I393" s="243">
        <v>20</v>
      </c>
      <c r="J393" s="226">
        <v>31400</v>
      </c>
      <c r="K393" s="306" t="s">
        <v>304</v>
      </c>
      <c r="L393" s="312">
        <v>30000</v>
      </c>
    </row>
    <row r="394" spans="1:12" ht="22.5" customHeight="1">
      <c r="A394" s="228" t="s">
        <v>112</v>
      </c>
      <c r="B394" s="250"/>
      <c r="C394" s="245"/>
      <c r="D394" s="205"/>
      <c r="E394" s="195"/>
      <c r="F394" s="195"/>
      <c r="G394" s="231"/>
      <c r="H394" s="195"/>
      <c r="I394" s="195"/>
      <c r="J394" s="195"/>
      <c r="K394" s="309"/>
      <c r="L394" s="313"/>
    </row>
    <row r="395" spans="1:12" ht="22.5" customHeight="1">
      <c r="A395" s="176" t="s">
        <v>113</v>
      </c>
      <c r="B395" s="199">
        <v>45541</v>
      </c>
      <c r="C395" s="251" t="s">
        <v>114</v>
      </c>
      <c r="D395" s="177" t="s">
        <v>451</v>
      </c>
      <c r="E395" s="206">
        <v>12000</v>
      </c>
      <c r="F395" s="230"/>
      <c r="G395" s="209">
        <v>2</v>
      </c>
      <c r="H395" s="197">
        <f t="shared" ref="H395:H397" si="106">SUM(G395*200)</f>
        <v>400</v>
      </c>
      <c r="I395" s="314">
        <v>20</v>
      </c>
      <c r="J395" s="282">
        <v>12400</v>
      </c>
      <c r="K395" s="295" t="s">
        <v>115</v>
      </c>
      <c r="L395" s="291">
        <v>12000</v>
      </c>
    </row>
    <row r="396" spans="1:12" ht="22.5" customHeight="1">
      <c r="A396" s="176" t="s">
        <v>116</v>
      </c>
      <c r="B396" s="199">
        <v>45539</v>
      </c>
      <c r="C396" s="252" t="s">
        <v>117</v>
      </c>
      <c r="D396" s="205" t="s">
        <v>479</v>
      </c>
      <c r="E396" s="206">
        <v>7000</v>
      </c>
      <c r="F396" s="195"/>
      <c r="G396" s="209">
        <v>2</v>
      </c>
      <c r="H396" s="197">
        <f t="shared" si="106"/>
        <v>400</v>
      </c>
      <c r="I396" s="314">
        <v>20</v>
      </c>
      <c r="J396" s="282">
        <v>7400</v>
      </c>
      <c r="K396" s="288" t="s">
        <v>119</v>
      </c>
      <c r="L396" s="291">
        <v>7000</v>
      </c>
    </row>
    <row r="397" spans="1:12" ht="22.5" customHeight="1">
      <c r="A397" s="176" t="s">
        <v>120</v>
      </c>
      <c r="B397" s="199">
        <v>45556</v>
      </c>
      <c r="C397" s="253" t="s">
        <v>121</v>
      </c>
      <c r="D397" s="177" t="s">
        <v>447</v>
      </c>
      <c r="E397" s="209">
        <v>10000</v>
      </c>
      <c r="F397" s="254"/>
      <c r="G397" s="209">
        <v>2</v>
      </c>
      <c r="H397" s="197">
        <f t="shared" si="106"/>
        <v>400</v>
      </c>
      <c r="I397" s="315">
        <v>20</v>
      </c>
      <c r="J397" s="254">
        <v>10420</v>
      </c>
      <c r="K397" s="316" t="s">
        <v>122</v>
      </c>
      <c r="L397" s="291">
        <v>10000</v>
      </c>
    </row>
    <row r="398" spans="1:12" ht="22.5" customHeight="1">
      <c r="A398" s="246"/>
      <c r="B398" s="247"/>
      <c r="C398" s="255"/>
      <c r="D398" s="242"/>
      <c r="E398" s="256">
        <f>SUM(E395:E397)</f>
        <v>29000</v>
      </c>
      <c r="F398" s="257"/>
      <c r="G398" s="256">
        <f>SUM(G395:G397)</f>
        <v>6</v>
      </c>
      <c r="H398" s="257">
        <f>SUM(H395:H397)</f>
        <v>1200</v>
      </c>
      <c r="I398" s="257">
        <f>SUM(I395:I397)</f>
        <v>60</v>
      </c>
      <c r="J398" s="257">
        <f>SUM(J395:J397)</f>
        <v>30220</v>
      </c>
      <c r="K398" s="317"/>
      <c r="L398" s="312">
        <f>SUM(L395:L397)</f>
        <v>29000</v>
      </c>
    </row>
    <row r="399" spans="1:12" ht="22.5" customHeight="1">
      <c r="B399" s="244"/>
      <c r="C399" s="80"/>
      <c r="D399" s="258"/>
      <c r="E399" s="259">
        <f>SUM(E384,E391,E393,E398)</f>
        <v>266250</v>
      </c>
      <c r="F399" s="260"/>
      <c r="G399" s="259">
        <f>SUM(G384,G391,G393,G398)</f>
        <v>55</v>
      </c>
      <c r="H399" s="259">
        <f>SUM(H384,H391,H393,H398)</f>
        <v>11000</v>
      </c>
      <c r="I399" s="318">
        <f>SUM(I384,I391,I393,I398)</f>
        <v>540</v>
      </c>
      <c r="J399" s="259">
        <f>SUM(J384,J391,J393,J398)</f>
        <v>277170</v>
      </c>
      <c r="K399" s="319"/>
      <c r="L399" s="291"/>
    </row>
    <row r="400" spans="1:12" ht="22.5" customHeight="1">
      <c r="A400" s="228" t="s">
        <v>123</v>
      </c>
      <c r="B400" s="261"/>
      <c r="C400" s="262"/>
      <c r="D400" s="15"/>
      <c r="E400" s="195"/>
      <c r="F400" s="263" t="s">
        <v>124</v>
      </c>
      <c r="G400" s="264"/>
      <c r="H400" s="195"/>
      <c r="I400" s="195"/>
      <c r="J400" s="230"/>
      <c r="K400" s="309"/>
      <c r="L400" s="284"/>
    </row>
    <row r="401" spans="1:12" ht="22.5" customHeight="1">
      <c r="A401" s="176" t="s">
        <v>125</v>
      </c>
      <c r="B401" s="199">
        <v>45540</v>
      </c>
      <c r="C401" s="265" t="s">
        <v>126</v>
      </c>
      <c r="D401" s="205" t="s">
        <v>480</v>
      </c>
      <c r="E401" s="202">
        <v>5000</v>
      </c>
      <c r="F401" s="266">
        <v>325</v>
      </c>
      <c r="G401" s="203">
        <v>2</v>
      </c>
      <c r="H401" s="266">
        <f t="shared" ref="H401:H402" si="107">SUM(G401*200)</f>
        <v>400</v>
      </c>
      <c r="I401" s="202">
        <v>20</v>
      </c>
      <c r="J401" s="282">
        <f>SUM(E401,F401,H401,I401)</f>
        <v>5745</v>
      </c>
      <c r="K401" s="319" t="s">
        <v>128</v>
      </c>
      <c r="L401" s="284">
        <v>5000</v>
      </c>
    </row>
    <row r="402" spans="1:12" ht="22.5" customHeight="1">
      <c r="A402" s="176" t="s">
        <v>129</v>
      </c>
      <c r="B402" s="199">
        <v>45569</v>
      </c>
      <c r="C402" s="265" t="s">
        <v>130</v>
      </c>
      <c r="D402" s="205" t="s">
        <v>481</v>
      </c>
      <c r="E402" s="206">
        <v>5500</v>
      </c>
      <c r="F402" s="195"/>
      <c r="G402" s="203">
        <v>1</v>
      </c>
      <c r="H402" s="266">
        <f t="shared" si="107"/>
        <v>200</v>
      </c>
      <c r="I402" s="206">
        <v>20</v>
      </c>
      <c r="J402" s="282">
        <f>SUM(E402,H402:I402)</f>
        <v>5720</v>
      </c>
      <c r="K402" s="319" t="s">
        <v>132</v>
      </c>
      <c r="L402" s="291">
        <v>5500</v>
      </c>
    </row>
    <row r="403" spans="1:12" ht="22.5" customHeight="1">
      <c r="A403" s="267" t="s">
        <v>133</v>
      </c>
      <c r="B403" s="268"/>
      <c r="C403" s="269"/>
      <c r="D403" s="242"/>
      <c r="E403" s="270">
        <f>SUM(E401:E402)</f>
        <v>10500</v>
      </c>
      <c r="F403" s="226">
        <f t="shared" ref="F403:I403" si="108">SUM(F401:F402)</f>
        <v>325</v>
      </c>
      <c r="G403" s="243">
        <f t="shared" si="108"/>
        <v>3</v>
      </c>
      <c r="H403" s="226">
        <f t="shared" si="108"/>
        <v>600</v>
      </c>
      <c r="I403" s="320">
        <f t="shared" si="108"/>
        <v>40</v>
      </c>
      <c r="J403" s="321">
        <f>SUM(F403,H403,I403,)</f>
        <v>965</v>
      </c>
      <c r="K403" s="322"/>
      <c r="L403" s="323"/>
    </row>
    <row r="404" spans="1:12" ht="22.5" customHeight="1">
      <c r="E404" s="271" t="s">
        <v>134</v>
      </c>
      <c r="F404" s="272">
        <f>SUM(F399,F403)</f>
        <v>325</v>
      </c>
      <c r="H404" s="272">
        <f>SUM(H399,H403)</f>
        <v>11600</v>
      </c>
      <c r="I404" s="324">
        <f>SUM(I399,I403)</f>
        <v>580</v>
      </c>
      <c r="J404" s="325" t="s">
        <v>135</v>
      </c>
      <c r="L404" s="326"/>
    </row>
    <row r="405" spans="1:12" ht="22.5" customHeight="1"/>
    <row r="406" spans="1:12" ht="22.5" customHeight="1">
      <c r="A406" s="185" t="s">
        <v>8</v>
      </c>
      <c r="B406" s="186" t="s">
        <v>482</v>
      </c>
      <c r="C406" s="187"/>
      <c r="D406" s="187"/>
      <c r="E406" s="187"/>
      <c r="F406" s="273"/>
      <c r="G406" s="189"/>
      <c r="H406" s="273"/>
      <c r="I406" s="187"/>
      <c r="J406" s="187"/>
      <c r="K406" s="187"/>
      <c r="L406" s="187"/>
    </row>
    <row r="407" spans="1:12" ht="22.5" customHeight="1">
      <c r="A407" s="190" t="s">
        <v>10</v>
      </c>
      <c r="B407" s="191">
        <v>45597</v>
      </c>
      <c r="C407" s="192" t="s">
        <v>483</v>
      </c>
      <c r="D407" s="193" t="s">
        <v>484</v>
      </c>
      <c r="E407" s="194">
        <v>8000</v>
      </c>
      <c r="F407" s="195">
        <f>SUM(E407*0.5)</f>
        <v>4000</v>
      </c>
      <c r="G407" s="196">
        <v>1</v>
      </c>
      <c r="H407" s="197">
        <f t="shared" ref="H407:H409" si="109">SUM(G407*200)</f>
        <v>200</v>
      </c>
      <c r="I407" s="194">
        <v>20</v>
      </c>
      <c r="J407" s="279">
        <v>8220</v>
      </c>
      <c r="K407" s="280" t="s">
        <v>13</v>
      </c>
      <c r="L407" s="281">
        <v>8000</v>
      </c>
    </row>
    <row r="408" spans="1:12" ht="22.5" customHeight="1">
      <c r="A408" s="198" t="s">
        <v>14</v>
      </c>
      <c r="B408" s="199">
        <v>45598</v>
      </c>
      <c r="C408" s="200" t="s">
        <v>485</v>
      </c>
      <c r="D408" s="201" t="s">
        <v>486</v>
      </c>
      <c r="E408" s="202">
        <v>8500</v>
      </c>
      <c r="F408" s="195">
        <f t="shared" ref="F408" si="110">SUM(E408*0.5)</f>
        <v>4250</v>
      </c>
      <c r="G408" s="203">
        <v>3</v>
      </c>
      <c r="H408" s="197">
        <f t="shared" si="109"/>
        <v>600</v>
      </c>
      <c r="I408" s="206">
        <v>20</v>
      </c>
      <c r="J408" s="282">
        <v>8620</v>
      </c>
      <c r="K408" s="283" t="s">
        <v>314</v>
      </c>
      <c r="L408" s="284">
        <v>8500</v>
      </c>
    </row>
    <row r="409" spans="1:12" ht="22.5" customHeight="1">
      <c r="A409" s="190" t="s">
        <v>18</v>
      </c>
      <c r="B409" s="199">
        <v>45598</v>
      </c>
      <c r="C409" s="204" t="s">
        <v>487</v>
      </c>
      <c r="D409" s="205" t="s">
        <v>488</v>
      </c>
      <c r="E409" s="202">
        <v>8000</v>
      </c>
      <c r="F409" s="195">
        <f t="shared" ref="F409:F428" si="111">SUM(E409*0.5)</f>
        <v>4000</v>
      </c>
      <c r="G409" s="203">
        <v>1</v>
      </c>
      <c r="H409" s="197">
        <f t="shared" si="109"/>
        <v>200</v>
      </c>
      <c r="I409" s="206">
        <v>20</v>
      </c>
      <c r="J409" s="282">
        <f>SUM(E409,H409:I409)</f>
        <v>8220</v>
      </c>
      <c r="K409" s="288" t="s">
        <v>21</v>
      </c>
      <c r="L409" s="284">
        <v>8000</v>
      </c>
    </row>
    <row r="410" spans="1:12" ht="22.5" customHeight="1">
      <c r="A410" s="190" t="s">
        <v>22</v>
      </c>
      <c r="B410" s="199">
        <v>45579</v>
      </c>
      <c r="C410" s="26" t="s">
        <v>489</v>
      </c>
      <c r="D410" s="205" t="s">
        <v>490</v>
      </c>
      <c r="E410" s="206">
        <v>7250</v>
      </c>
      <c r="F410" s="195">
        <f t="shared" si="111"/>
        <v>3625</v>
      </c>
      <c r="G410" s="203">
        <v>1</v>
      </c>
      <c r="H410" s="197">
        <f t="shared" ref="H410:H428" si="112">SUM(G410*200)</f>
        <v>200</v>
      </c>
      <c r="I410" s="206">
        <v>20</v>
      </c>
      <c r="J410" s="282">
        <f>SUM(E410,H410:I410)</f>
        <v>7470</v>
      </c>
      <c r="K410" s="290" t="s">
        <v>25</v>
      </c>
      <c r="L410" s="291">
        <v>5000</v>
      </c>
    </row>
    <row r="411" spans="1:12" ht="22.5" customHeight="1">
      <c r="A411" s="190" t="s">
        <v>26</v>
      </c>
      <c r="B411" s="199"/>
      <c r="C411" s="207" t="s">
        <v>162</v>
      </c>
      <c r="D411" s="208"/>
      <c r="E411" s="209"/>
      <c r="F411" s="195"/>
      <c r="G411" s="210"/>
      <c r="H411" s="197"/>
      <c r="I411" s="209"/>
      <c r="J411" s="254"/>
      <c r="K411" s="24"/>
      <c r="L411" s="291"/>
    </row>
    <row r="412" spans="1:12" ht="22.5" customHeight="1">
      <c r="A412" s="190" t="s">
        <v>30</v>
      </c>
      <c r="B412" s="199">
        <v>45740</v>
      </c>
      <c r="C412" s="204" t="s">
        <v>1089</v>
      </c>
      <c r="D412" s="205" t="s">
        <v>1090</v>
      </c>
      <c r="E412" s="209">
        <v>6500</v>
      </c>
      <c r="F412" s="195">
        <v>3250</v>
      </c>
      <c r="G412" s="210">
        <v>0</v>
      </c>
      <c r="H412" s="197"/>
      <c r="I412" s="209"/>
      <c r="J412" s="254">
        <v>6500</v>
      </c>
      <c r="K412" s="294" t="s">
        <v>1070</v>
      </c>
      <c r="L412" s="287">
        <v>6500</v>
      </c>
    </row>
    <row r="413" spans="1:12" ht="22.5" customHeight="1">
      <c r="A413" s="190" t="s">
        <v>33</v>
      </c>
      <c r="B413" s="199">
        <v>45595</v>
      </c>
      <c r="C413" s="204" t="s">
        <v>491</v>
      </c>
      <c r="D413" s="205" t="s">
        <v>492</v>
      </c>
      <c r="E413" s="202">
        <v>6000</v>
      </c>
      <c r="F413" s="195">
        <f t="shared" si="111"/>
        <v>3000</v>
      </c>
      <c r="G413" s="210">
        <v>1</v>
      </c>
      <c r="H413" s="197">
        <f t="shared" si="112"/>
        <v>200</v>
      </c>
      <c r="I413" s="202">
        <v>20</v>
      </c>
      <c r="J413" s="197">
        <v>6220</v>
      </c>
      <c r="K413" s="288" t="s">
        <v>17</v>
      </c>
      <c r="L413" s="284">
        <v>6000</v>
      </c>
    </row>
    <row r="414" spans="1:12" ht="22.5" customHeight="1">
      <c r="A414" s="190" t="s">
        <v>35</v>
      </c>
      <c r="B414" s="199">
        <v>45574</v>
      </c>
      <c r="C414" s="211" t="s">
        <v>493</v>
      </c>
      <c r="D414" s="177" t="s">
        <v>494</v>
      </c>
      <c r="E414" s="212">
        <v>6000</v>
      </c>
      <c r="F414" s="195">
        <f t="shared" si="111"/>
        <v>3000</v>
      </c>
      <c r="G414" s="210">
        <v>1</v>
      </c>
      <c r="H414" s="197">
        <f t="shared" si="112"/>
        <v>200</v>
      </c>
      <c r="I414" s="206">
        <v>20</v>
      </c>
      <c r="J414" s="282">
        <v>6220</v>
      </c>
      <c r="K414" s="295" t="s">
        <v>38</v>
      </c>
      <c r="L414" s="284">
        <v>6000</v>
      </c>
    </row>
    <row r="415" spans="1:12" ht="22.5" customHeight="1">
      <c r="A415" s="213" t="s">
        <v>39</v>
      </c>
      <c r="B415" s="199">
        <v>45598</v>
      </c>
      <c r="C415" s="14" t="s">
        <v>495</v>
      </c>
      <c r="D415" s="205" t="s">
        <v>496</v>
      </c>
      <c r="E415" s="202">
        <v>8000</v>
      </c>
      <c r="F415" s="195">
        <f t="shared" si="111"/>
        <v>4000</v>
      </c>
      <c r="G415" s="203">
        <v>1</v>
      </c>
      <c r="H415" s="197">
        <f t="shared" si="112"/>
        <v>200</v>
      </c>
      <c r="I415" s="202">
        <v>20</v>
      </c>
      <c r="J415" s="282">
        <f>SUM(E415,H415:I415)</f>
        <v>8220</v>
      </c>
      <c r="K415" s="288" t="s">
        <v>42</v>
      </c>
      <c r="L415" s="284">
        <v>8000</v>
      </c>
    </row>
    <row r="416" spans="1:12" ht="22.5" customHeight="1">
      <c r="A416" s="213" t="s">
        <v>43</v>
      </c>
      <c r="B416" s="199">
        <v>45595</v>
      </c>
      <c r="C416" s="204" t="s">
        <v>497</v>
      </c>
      <c r="D416" s="14" t="s">
        <v>498</v>
      </c>
      <c r="E416" s="202">
        <v>8000</v>
      </c>
      <c r="F416" s="195">
        <f t="shared" si="111"/>
        <v>4000</v>
      </c>
      <c r="G416" s="203">
        <v>2</v>
      </c>
      <c r="H416" s="197">
        <f t="shared" si="112"/>
        <v>400</v>
      </c>
      <c r="I416" s="206">
        <v>20</v>
      </c>
      <c r="J416" s="282">
        <f>SUM(E416,H416:I416)</f>
        <v>8420</v>
      </c>
      <c r="K416" s="288" t="s">
        <v>46</v>
      </c>
      <c r="L416" s="284">
        <v>8000</v>
      </c>
    </row>
    <row r="417" spans="1:12" ht="22.5" customHeight="1">
      <c r="A417" s="213" t="s">
        <v>47</v>
      </c>
      <c r="B417" s="199">
        <v>45597</v>
      </c>
      <c r="C417" s="204" t="s">
        <v>499</v>
      </c>
      <c r="D417" s="205" t="s">
        <v>500</v>
      </c>
      <c r="E417" s="202">
        <v>8000</v>
      </c>
      <c r="F417" s="195">
        <f t="shared" si="111"/>
        <v>4000</v>
      </c>
      <c r="G417" s="203">
        <v>2</v>
      </c>
      <c r="H417" s="197">
        <f t="shared" si="112"/>
        <v>400</v>
      </c>
      <c r="I417" s="202">
        <v>20</v>
      </c>
      <c r="J417" s="282">
        <v>8600</v>
      </c>
      <c r="K417" s="288" t="s">
        <v>50</v>
      </c>
      <c r="L417" s="291">
        <v>8000</v>
      </c>
    </row>
    <row r="418" spans="1:12" ht="22.5" customHeight="1">
      <c r="A418" s="213" t="s">
        <v>51</v>
      </c>
      <c r="B418" s="199">
        <v>45602</v>
      </c>
      <c r="C418" s="207" t="s">
        <v>501</v>
      </c>
      <c r="D418" s="205" t="s">
        <v>502</v>
      </c>
      <c r="E418" s="212">
        <v>8500</v>
      </c>
      <c r="F418" s="195">
        <f t="shared" si="111"/>
        <v>4250</v>
      </c>
      <c r="G418" s="210">
        <v>4</v>
      </c>
      <c r="H418" s="197">
        <f t="shared" si="112"/>
        <v>800</v>
      </c>
      <c r="I418" s="212">
        <v>20</v>
      </c>
      <c r="J418" s="282">
        <v>9300</v>
      </c>
      <c r="K418" s="295" t="s">
        <v>54</v>
      </c>
      <c r="L418" s="284">
        <v>8500</v>
      </c>
    </row>
    <row r="419" spans="1:12" ht="22.5" customHeight="1">
      <c r="A419" s="213" t="s">
        <v>55</v>
      </c>
      <c r="B419" s="199">
        <v>45596</v>
      </c>
      <c r="C419" s="204" t="s">
        <v>503</v>
      </c>
      <c r="D419" s="205" t="s">
        <v>500</v>
      </c>
      <c r="E419" s="202">
        <v>7500</v>
      </c>
      <c r="F419" s="195">
        <f t="shared" si="111"/>
        <v>3750</v>
      </c>
      <c r="G419" s="203">
        <v>2</v>
      </c>
      <c r="H419" s="197">
        <f t="shared" si="112"/>
        <v>400</v>
      </c>
      <c r="I419" s="206">
        <v>20</v>
      </c>
      <c r="J419" s="282">
        <v>7920</v>
      </c>
      <c r="K419" s="288" t="s">
        <v>57</v>
      </c>
      <c r="L419" s="284">
        <v>7500</v>
      </c>
    </row>
    <row r="420" spans="1:12" ht="22.5" customHeight="1">
      <c r="A420" s="213" t="s">
        <v>58</v>
      </c>
      <c r="B420" s="199">
        <v>45596</v>
      </c>
      <c r="C420" s="204" t="s">
        <v>504</v>
      </c>
      <c r="D420" s="205" t="s">
        <v>490</v>
      </c>
      <c r="E420" s="202">
        <v>6500</v>
      </c>
      <c r="F420" s="195">
        <f t="shared" si="111"/>
        <v>3250</v>
      </c>
      <c r="G420" s="203">
        <v>1</v>
      </c>
      <c r="H420" s="197">
        <f t="shared" si="112"/>
        <v>200</v>
      </c>
      <c r="I420" s="206">
        <v>20</v>
      </c>
      <c r="J420" s="254">
        <v>6620</v>
      </c>
      <c r="K420" s="296" t="s">
        <v>378</v>
      </c>
      <c r="L420" s="284">
        <v>6500</v>
      </c>
    </row>
    <row r="421" spans="1:12" ht="22.5" customHeight="1">
      <c r="A421" s="213" t="s">
        <v>60</v>
      </c>
      <c r="B421" s="199">
        <v>45574</v>
      </c>
      <c r="C421" s="204" t="s">
        <v>505</v>
      </c>
      <c r="D421" s="205" t="s">
        <v>490</v>
      </c>
      <c r="E421" s="202">
        <v>6500</v>
      </c>
      <c r="F421" s="195">
        <f t="shared" si="111"/>
        <v>3250</v>
      </c>
      <c r="G421" s="203">
        <v>2</v>
      </c>
      <c r="H421" s="197">
        <f t="shared" si="112"/>
        <v>400</v>
      </c>
      <c r="I421" s="206">
        <v>20</v>
      </c>
      <c r="J421" s="282">
        <v>6920</v>
      </c>
      <c r="K421" s="288" t="s">
        <v>506</v>
      </c>
      <c r="L421" s="284">
        <v>6500</v>
      </c>
    </row>
    <row r="422" spans="1:12" ht="22.5" customHeight="1">
      <c r="A422" s="214" t="s">
        <v>63</v>
      </c>
      <c r="B422" s="199">
        <v>45598</v>
      </c>
      <c r="C422" s="204" t="s">
        <v>507</v>
      </c>
      <c r="D422" s="205" t="s">
        <v>488</v>
      </c>
      <c r="E422" s="206">
        <v>9000</v>
      </c>
      <c r="F422" s="195">
        <f t="shared" si="111"/>
        <v>4500</v>
      </c>
      <c r="G422" s="203">
        <v>4</v>
      </c>
      <c r="H422" s="197">
        <f t="shared" si="112"/>
        <v>800</v>
      </c>
      <c r="I422" s="206">
        <v>20</v>
      </c>
      <c r="J422" s="282">
        <v>9820</v>
      </c>
      <c r="K422" s="288" t="s">
        <v>287</v>
      </c>
      <c r="L422" s="291">
        <v>9000</v>
      </c>
    </row>
    <row r="423" spans="1:12" ht="22.5" customHeight="1">
      <c r="A423" s="214" t="s">
        <v>67</v>
      </c>
      <c r="B423" s="199">
        <v>45596</v>
      </c>
      <c r="C423" s="204" t="s">
        <v>508</v>
      </c>
      <c r="D423" s="205" t="s">
        <v>498</v>
      </c>
      <c r="E423" s="206">
        <v>8500</v>
      </c>
      <c r="F423" s="195">
        <f t="shared" si="111"/>
        <v>4250</v>
      </c>
      <c r="G423" s="203">
        <v>3</v>
      </c>
      <c r="H423" s="197">
        <f t="shared" si="112"/>
        <v>600</v>
      </c>
      <c r="I423" s="206">
        <v>20</v>
      </c>
      <c r="J423" s="282">
        <v>9300</v>
      </c>
      <c r="K423" s="295" t="s">
        <v>290</v>
      </c>
      <c r="L423" s="284">
        <v>8500</v>
      </c>
    </row>
    <row r="424" spans="1:12" ht="22.5" customHeight="1">
      <c r="A424" s="214" t="s">
        <v>71</v>
      </c>
      <c r="B424" s="199">
        <v>45596</v>
      </c>
      <c r="C424" s="204" t="s">
        <v>509</v>
      </c>
      <c r="D424" s="205" t="s">
        <v>510</v>
      </c>
      <c r="E424" s="206">
        <v>8500</v>
      </c>
      <c r="F424" s="195">
        <f t="shared" si="111"/>
        <v>4250</v>
      </c>
      <c r="G424" s="203">
        <v>2</v>
      </c>
      <c r="H424" s="197">
        <f t="shared" si="112"/>
        <v>400</v>
      </c>
      <c r="I424" s="206">
        <v>20</v>
      </c>
      <c r="J424" s="282">
        <v>8920</v>
      </c>
      <c r="K424" s="288" t="s">
        <v>383</v>
      </c>
      <c r="L424" s="291">
        <v>8500</v>
      </c>
    </row>
    <row r="425" spans="1:12" ht="22.5" customHeight="1">
      <c r="A425" s="214" t="s">
        <v>74</v>
      </c>
      <c r="B425" s="199">
        <v>45596</v>
      </c>
      <c r="C425" s="204" t="s">
        <v>511</v>
      </c>
      <c r="D425" s="205" t="s">
        <v>492</v>
      </c>
      <c r="E425" s="206">
        <v>8000</v>
      </c>
      <c r="F425" s="195">
        <f t="shared" si="111"/>
        <v>4000</v>
      </c>
      <c r="G425" s="203">
        <v>2</v>
      </c>
      <c r="H425" s="197">
        <f t="shared" si="112"/>
        <v>400</v>
      </c>
      <c r="I425" s="206">
        <v>20</v>
      </c>
      <c r="J425" s="282">
        <f>SUM(E425,H425:I425)</f>
        <v>8420</v>
      </c>
      <c r="K425" s="288" t="s">
        <v>76</v>
      </c>
      <c r="L425" s="291">
        <v>8000</v>
      </c>
    </row>
    <row r="426" spans="1:12" ht="22.5" customHeight="1">
      <c r="A426" s="214" t="s">
        <v>77</v>
      </c>
      <c r="B426" s="199">
        <v>45569</v>
      </c>
      <c r="C426" s="207" t="s">
        <v>512</v>
      </c>
      <c r="D426" s="205" t="s">
        <v>496</v>
      </c>
      <c r="E426" s="206">
        <v>8000</v>
      </c>
      <c r="F426" s="195">
        <f t="shared" ref="F426" si="113">SUM(E426*0.5)</f>
        <v>4000</v>
      </c>
      <c r="G426" s="203">
        <v>2</v>
      </c>
      <c r="H426" s="197">
        <f t="shared" ref="H426" si="114">SUM(G426*200)</f>
        <v>400</v>
      </c>
      <c r="I426" s="206">
        <v>20</v>
      </c>
      <c r="J426" s="282">
        <f>SUM(E426,H426:I426)</f>
        <v>8420</v>
      </c>
      <c r="K426" s="288" t="s">
        <v>340</v>
      </c>
      <c r="L426" s="291">
        <v>8000</v>
      </c>
    </row>
    <row r="427" spans="1:12" ht="22.5" customHeight="1">
      <c r="A427" s="214" t="s">
        <v>81</v>
      </c>
      <c r="B427" s="199">
        <v>45596</v>
      </c>
      <c r="C427" s="207" t="s">
        <v>513</v>
      </c>
      <c r="D427" s="177" t="s">
        <v>514</v>
      </c>
      <c r="E427" s="209">
        <v>6000</v>
      </c>
      <c r="F427" s="195">
        <f t="shared" si="111"/>
        <v>3000</v>
      </c>
      <c r="G427" s="210">
        <v>1</v>
      </c>
      <c r="H427" s="197">
        <f t="shared" si="112"/>
        <v>200</v>
      </c>
      <c r="I427" s="206">
        <v>20</v>
      </c>
      <c r="J427" s="282">
        <v>6220</v>
      </c>
      <c r="K427" s="295" t="s">
        <v>83</v>
      </c>
      <c r="L427" s="291">
        <v>6000</v>
      </c>
    </row>
    <row r="428" spans="1:12" ht="22.5" customHeight="1">
      <c r="A428" s="215" t="s">
        <v>84</v>
      </c>
      <c r="B428" s="216">
        <v>45597</v>
      </c>
      <c r="C428" s="217" t="s">
        <v>515</v>
      </c>
      <c r="D428" s="218" t="s">
        <v>510</v>
      </c>
      <c r="E428" s="219">
        <v>6500</v>
      </c>
      <c r="F428" s="195">
        <f t="shared" si="111"/>
        <v>3250</v>
      </c>
      <c r="G428" s="220">
        <v>1</v>
      </c>
      <c r="H428" s="197">
        <f t="shared" si="112"/>
        <v>200</v>
      </c>
      <c r="I428" s="219">
        <v>20</v>
      </c>
      <c r="J428" s="303">
        <v>6720</v>
      </c>
      <c r="K428" s="304" t="s">
        <v>390</v>
      </c>
      <c r="L428" s="305">
        <v>6500</v>
      </c>
    </row>
    <row r="429" spans="1:12" ht="22.5" customHeight="1">
      <c r="A429" s="221"/>
      <c r="B429" s="222"/>
      <c r="C429" s="223"/>
      <c r="D429" s="224"/>
      <c r="E429" s="225">
        <f>SUM(E407:E428)</f>
        <v>157750</v>
      </c>
      <c r="F429" s="226">
        <f>SUM(F407:F428)</f>
        <v>78875</v>
      </c>
      <c r="G429" s="225">
        <f t="shared" ref="G429:J429" si="115">SUM(G407:G428)</f>
        <v>37</v>
      </c>
      <c r="H429" s="227">
        <f t="shared" si="115"/>
        <v>7400</v>
      </c>
      <c r="I429" s="225">
        <f t="shared" si="115"/>
        <v>400</v>
      </c>
      <c r="J429" s="227">
        <f t="shared" si="115"/>
        <v>165290</v>
      </c>
      <c r="K429" s="306"/>
      <c r="L429" s="307">
        <f>SUM(L407:L428)</f>
        <v>155500</v>
      </c>
    </row>
    <row r="430" spans="1:12" ht="22.5" customHeight="1">
      <c r="A430" s="228" t="s">
        <v>88</v>
      </c>
      <c r="B430" s="229"/>
      <c r="C430" s="230"/>
      <c r="D430" s="205"/>
      <c r="E430" s="195"/>
      <c r="F430" s="195"/>
      <c r="G430" s="231"/>
      <c r="H430" s="195"/>
      <c r="I430" s="195"/>
      <c r="J430" s="230"/>
      <c r="K430" s="309"/>
      <c r="L430" s="291"/>
    </row>
    <row r="431" spans="1:12" ht="22.5" customHeight="1">
      <c r="A431" s="176" t="s">
        <v>89</v>
      </c>
      <c r="B431" s="199">
        <v>45585</v>
      </c>
      <c r="C431" s="204" t="s">
        <v>90</v>
      </c>
      <c r="D431" s="205" t="s">
        <v>516</v>
      </c>
      <c r="E431" s="206">
        <v>10000</v>
      </c>
      <c r="F431" s="195"/>
      <c r="G431" s="232">
        <v>2</v>
      </c>
      <c r="H431" s="197">
        <f t="shared" ref="H431:H434" si="116">SUM(G431*200)</f>
        <v>400</v>
      </c>
      <c r="I431" s="206">
        <v>20</v>
      </c>
      <c r="J431" s="282">
        <v>10420</v>
      </c>
      <c r="K431" s="288" t="s">
        <v>92</v>
      </c>
      <c r="L431" s="291">
        <v>10000</v>
      </c>
    </row>
    <row r="432" spans="1:12" ht="22.5" customHeight="1">
      <c r="A432" s="176" t="s">
        <v>93</v>
      </c>
      <c r="B432" s="199">
        <v>45573</v>
      </c>
      <c r="C432" s="207" t="s">
        <v>94</v>
      </c>
      <c r="D432" s="177" t="s">
        <v>517</v>
      </c>
      <c r="E432" s="212">
        <v>10000</v>
      </c>
      <c r="F432" s="233"/>
      <c r="G432" s="210">
        <v>2</v>
      </c>
      <c r="H432" s="197">
        <f t="shared" si="116"/>
        <v>400</v>
      </c>
      <c r="I432" s="202">
        <v>20</v>
      </c>
      <c r="J432" s="282">
        <v>10420</v>
      </c>
      <c r="K432" s="310" t="s">
        <v>96</v>
      </c>
      <c r="L432" s="284">
        <v>6000</v>
      </c>
    </row>
    <row r="433" spans="1:12" ht="22.5" customHeight="1">
      <c r="A433" s="176" t="s">
        <v>97</v>
      </c>
      <c r="B433" s="199">
        <v>45577</v>
      </c>
      <c r="C433" s="204" t="s">
        <v>98</v>
      </c>
      <c r="D433" s="205" t="s">
        <v>494</v>
      </c>
      <c r="E433" s="234">
        <v>12000</v>
      </c>
      <c r="F433" s="235"/>
      <c r="G433" s="232">
        <v>2</v>
      </c>
      <c r="H433" s="197">
        <f t="shared" si="116"/>
        <v>400</v>
      </c>
      <c r="I433" s="206">
        <v>20</v>
      </c>
      <c r="J433" s="282">
        <v>12400</v>
      </c>
      <c r="K433" s="288" t="s">
        <v>99</v>
      </c>
      <c r="L433" s="291">
        <v>12000</v>
      </c>
    </row>
    <row r="434" spans="1:12" ht="22.5" customHeight="1">
      <c r="A434" s="176" t="s">
        <v>100</v>
      </c>
      <c r="B434" s="199">
        <v>45600</v>
      </c>
      <c r="C434" s="236" t="s">
        <v>474</v>
      </c>
      <c r="D434" s="205" t="s">
        <v>518</v>
      </c>
      <c r="E434" s="206">
        <v>12000</v>
      </c>
      <c r="F434" s="195"/>
      <c r="G434" s="232">
        <v>4</v>
      </c>
      <c r="H434" s="197">
        <f t="shared" si="116"/>
        <v>800</v>
      </c>
      <c r="I434" s="206">
        <v>20</v>
      </c>
      <c r="J434" s="282">
        <v>12820</v>
      </c>
      <c r="K434" s="311" t="s">
        <v>519</v>
      </c>
      <c r="L434" s="291"/>
    </row>
    <row r="435" spans="1:12" ht="22.5" customHeight="1">
      <c r="A435" s="176" t="s">
        <v>104</v>
      </c>
      <c r="B435" s="199">
        <v>45600</v>
      </c>
      <c r="C435" s="237" t="s">
        <v>105</v>
      </c>
      <c r="D435" s="205" t="s">
        <v>520</v>
      </c>
      <c r="E435" s="206">
        <v>12000</v>
      </c>
      <c r="F435" s="195"/>
      <c r="G435" s="238">
        <v>3</v>
      </c>
      <c r="H435" s="197">
        <f t="shared" ref="H435" si="117">SUM(G435*200)</f>
        <v>600</v>
      </c>
      <c r="I435" s="219">
        <v>20</v>
      </c>
      <c r="J435" s="282">
        <v>12620</v>
      </c>
      <c r="K435" s="311" t="s">
        <v>107</v>
      </c>
      <c r="L435" s="291">
        <v>12000</v>
      </c>
    </row>
    <row r="436" spans="1:12" ht="22.5" customHeight="1">
      <c r="A436" s="239"/>
      <c r="B436" s="240"/>
      <c r="C436" s="241" t="s">
        <v>108</v>
      </c>
      <c r="D436" s="242"/>
      <c r="E436" s="243">
        <f>SUM(E431:E435)</f>
        <v>56000</v>
      </c>
      <c r="F436" s="226"/>
      <c r="G436" s="226">
        <f>SUM(G431:G435)</f>
        <v>13</v>
      </c>
      <c r="H436" s="226">
        <f>SUM(H431:H435)</f>
        <v>2600</v>
      </c>
      <c r="I436" s="243">
        <f>SUM(I431:I435)</f>
        <v>100</v>
      </c>
      <c r="J436" s="226">
        <f>SUM(J431:J435)</f>
        <v>58680</v>
      </c>
      <c r="K436" s="306"/>
      <c r="L436" s="312">
        <f>SUM(L431:L435)</f>
        <v>40000</v>
      </c>
    </row>
    <row r="437" spans="1:12" ht="22.5" customHeight="1">
      <c r="A437" s="228" t="s">
        <v>109</v>
      </c>
      <c r="B437" s="244"/>
      <c r="C437" s="245"/>
      <c r="D437" s="205"/>
      <c r="E437" s="195"/>
      <c r="F437" s="195"/>
      <c r="G437" s="231"/>
      <c r="H437" s="195"/>
      <c r="I437" s="195"/>
      <c r="J437" s="195"/>
      <c r="K437" s="309"/>
      <c r="L437" s="313"/>
    </row>
    <row r="438" spans="1:12" ht="22.5" customHeight="1">
      <c r="A438" s="246" t="s">
        <v>110</v>
      </c>
      <c r="B438" s="329">
        <v>45607</v>
      </c>
      <c r="C438" s="248" t="s">
        <v>303</v>
      </c>
      <c r="D438" s="242" t="s">
        <v>478</v>
      </c>
      <c r="E438" s="243">
        <v>30000</v>
      </c>
      <c r="F438" s="226"/>
      <c r="G438" s="249">
        <v>7</v>
      </c>
      <c r="H438" s="226">
        <v>1400</v>
      </c>
      <c r="I438" s="243">
        <v>20</v>
      </c>
      <c r="J438" s="226">
        <v>31400</v>
      </c>
      <c r="K438" s="306" t="s">
        <v>304</v>
      </c>
      <c r="L438" s="312">
        <v>30000</v>
      </c>
    </row>
    <row r="439" spans="1:12" ht="22.5" customHeight="1">
      <c r="A439" s="228" t="s">
        <v>112</v>
      </c>
      <c r="B439" s="250"/>
      <c r="C439" s="245"/>
      <c r="D439" s="205"/>
      <c r="E439" s="195"/>
      <c r="F439" s="195"/>
      <c r="G439" s="231"/>
      <c r="H439" s="195"/>
      <c r="I439" s="195"/>
      <c r="J439" s="195"/>
      <c r="K439" s="309"/>
      <c r="L439" s="313"/>
    </row>
    <row r="440" spans="1:12" ht="22.5" customHeight="1">
      <c r="A440" s="176" t="s">
        <v>113</v>
      </c>
      <c r="B440" s="199">
        <v>45576</v>
      </c>
      <c r="C440" s="251" t="s">
        <v>114</v>
      </c>
      <c r="D440" s="177" t="s">
        <v>496</v>
      </c>
      <c r="E440" s="206">
        <v>12400</v>
      </c>
      <c r="F440" s="230"/>
      <c r="G440" s="209">
        <v>2</v>
      </c>
      <c r="H440" s="197">
        <f t="shared" ref="H440:H442" si="118">SUM(G440*200)</f>
        <v>400</v>
      </c>
      <c r="I440" s="314">
        <v>20</v>
      </c>
      <c r="J440" s="282">
        <v>12820</v>
      </c>
      <c r="K440" s="295" t="s">
        <v>115</v>
      </c>
      <c r="L440" s="291">
        <v>12000</v>
      </c>
    </row>
    <row r="441" spans="1:12" ht="22.5" customHeight="1">
      <c r="A441" s="176" t="s">
        <v>116</v>
      </c>
      <c r="B441" s="199">
        <v>45567</v>
      </c>
      <c r="C441" s="252" t="s">
        <v>117</v>
      </c>
      <c r="D441" s="205" t="s">
        <v>521</v>
      </c>
      <c r="E441" s="206">
        <v>7000</v>
      </c>
      <c r="F441" s="195"/>
      <c r="G441" s="209">
        <v>1</v>
      </c>
      <c r="H441" s="197">
        <f t="shared" si="118"/>
        <v>200</v>
      </c>
      <c r="I441" s="314">
        <v>20</v>
      </c>
      <c r="J441" s="282">
        <v>7400</v>
      </c>
      <c r="K441" s="288" t="s">
        <v>119</v>
      </c>
      <c r="L441" s="291">
        <v>7000</v>
      </c>
    </row>
    <row r="442" spans="1:12" ht="22.5" customHeight="1">
      <c r="A442" s="176" t="s">
        <v>120</v>
      </c>
      <c r="B442" s="199">
        <v>45592</v>
      </c>
      <c r="C442" s="253" t="s">
        <v>121</v>
      </c>
      <c r="D442" s="177" t="s">
        <v>492</v>
      </c>
      <c r="E442" s="209">
        <v>10000</v>
      </c>
      <c r="F442" s="254"/>
      <c r="G442" s="209">
        <v>2</v>
      </c>
      <c r="H442" s="197">
        <f t="shared" si="118"/>
        <v>400</v>
      </c>
      <c r="I442" s="315">
        <v>20</v>
      </c>
      <c r="J442" s="254">
        <v>10420</v>
      </c>
      <c r="K442" s="316" t="s">
        <v>122</v>
      </c>
      <c r="L442" s="291">
        <v>10000</v>
      </c>
    </row>
    <row r="443" spans="1:12" ht="22.5" customHeight="1">
      <c r="A443" s="246"/>
      <c r="B443" s="247"/>
      <c r="C443" s="255"/>
      <c r="D443" s="242"/>
      <c r="E443" s="256">
        <f>SUM(E440:E442)</f>
        <v>29400</v>
      </c>
      <c r="F443" s="257"/>
      <c r="G443" s="256">
        <f>SUM(G440:G442)</f>
        <v>5</v>
      </c>
      <c r="H443" s="257">
        <f>SUM(H440:H442)</f>
        <v>1000</v>
      </c>
      <c r="I443" s="257">
        <f>SUM(I440:I442)</f>
        <v>60</v>
      </c>
      <c r="J443" s="257">
        <f>SUM(J440:J442)</f>
        <v>30640</v>
      </c>
      <c r="K443" s="317"/>
      <c r="L443" s="312">
        <f>SUM(L440:L442)</f>
        <v>29000</v>
      </c>
    </row>
    <row r="444" spans="1:12" ht="22.5" customHeight="1">
      <c r="B444" s="244"/>
      <c r="C444" s="80"/>
      <c r="D444" s="258"/>
      <c r="E444" s="259">
        <f>SUM(E429,E436,E438,E443)</f>
        <v>273150</v>
      </c>
      <c r="F444" s="260"/>
      <c r="G444" s="259">
        <f>SUM(G429,G436,G438,G443)</f>
        <v>62</v>
      </c>
      <c r="H444" s="259">
        <f>SUM(H429,H436,H438,H443)</f>
        <v>12400</v>
      </c>
      <c r="I444" s="318">
        <f>SUM(I429,I436,I438,I443)</f>
        <v>580</v>
      </c>
      <c r="J444" s="259">
        <f>SUM(J429,J436,J438,J443)</f>
        <v>286010</v>
      </c>
      <c r="K444" s="319"/>
      <c r="L444" s="291"/>
    </row>
    <row r="445" spans="1:12" ht="22.5" customHeight="1">
      <c r="A445" s="228" t="s">
        <v>123</v>
      </c>
      <c r="B445" s="261"/>
      <c r="C445" s="262"/>
      <c r="D445" s="15"/>
      <c r="E445" s="195"/>
      <c r="F445" s="263" t="s">
        <v>124</v>
      </c>
      <c r="G445" s="264"/>
      <c r="H445" s="195"/>
      <c r="I445" s="195"/>
      <c r="J445" s="230"/>
      <c r="K445" s="309"/>
      <c r="L445" s="284"/>
    </row>
    <row r="446" spans="1:12" ht="22.5" customHeight="1">
      <c r="A446" s="176" t="s">
        <v>125</v>
      </c>
      <c r="B446" s="199">
        <v>45576</v>
      </c>
      <c r="C446" s="265" t="s">
        <v>126</v>
      </c>
      <c r="D446" s="205" t="s">
        <v>522</v>
      </c>
      <c r="E446" s="202">
        <v>5000</v>
      </c>
      <c r="F446" s="266">
        <v>325</v>
      </c>
      <c r="G446" s="203">
        <v>2</v>
      </c>
      <c r="H446" s="266">
        <f t="shared" ref="H446:H447" si="119">SUM(G446*200)</f>
        <v>400</v>
      </c>
      <c r="I446" s="202">
        <v>20</v>
      </c>
      <c r="J446" s="282">
        <f>SUM(E446,F446,H446,I446)</f>
        <v>5745</v>
      </c>
      <c r="K446" s="319" t="s">
        <v>128</v>
      </c>
      <c r="L446" s="284">
        <v>5000</v>
      </c>
    </row>
    <row r="447" spans="1:12" ht="22.5" customHeight="1">
      <c r="A447" s="176" t="s">
        <v>129</v>
      </c>
      <c r="B447" s="199">
        <v>45596</v>
      </c>
      <c r="C447" s="265" t="s">
        <v>130</v>
      </c>
      <c r="D447" s="205" t="s">
        <v>523</v>
      </c>
      <c r="E447" s="206">
        <v>5500</v>
      </c>
      <c r="F447" s="195"/>
      <c r="G447" s="203">
        <v>1</v>
      </c>
      <c r="H447" s="266">
        <f t="shared" si="119"/>
        <v>200</v>
      </c>
      <c r="I447" s="206">
        <v>20</v>
      </c>
      <c r="J447" s="282">
        <f>SUM(E447,H447:I447)</f>
        <v>5720</v>
      </c>
      <c r="K447" s="319" t="s">
        <v>132</v>
      </c>
      <c r="L447" s="291">
        <v>5500</v>
      </c>
    </row>
    <row r="448" spans="1:12" ht="22.5" customHeight="1">
      <c r="A448" s="267" t="s">
        <v>133</v>
      </c>
      <c r="B448" s="268"/>
      <c r="C448" s="269"/>
      <c r="D448" s="242"/>
      <c r="E448" s="270">
        <f>SUM(E446:E447)</f>
        <v>10500</v>
      </c>
      <c r="F448" s="226">
        <f t="shared" ref="F448:I448" si="120">SUM(F446:F447)</f>
        <v>325</v>
      </c>
      <c r="G448" s="243">
        <f t="shared" si="120"/>
        <v>3</v>
      </c>
      <c r="H448" s="226">
        <f t="shared" si="120"/>
        <v>600</v>
      </c>
      <c r="I448" s="320">
        <f t="shared" si="120"/>
        <v>40</v>
      </c>
      <c r="J448" s="321">
        <f>SUM(F448,H448,I448,)</f>
        <v>965</v>
      </c>
      <c r="K448" s="322"/>
      <c r="L448" s="323"/>
    </row>
    <row r="449" spans="1:12" ht="22.5" customHeight="1">
      <c r="E449" s="271" t="s">
        <v>134</v>
      </c>
      <c r="F449" s="272">
        <f>SUM(F444,F448)</f>
        <v>325</v>
      </c>
      <c r="H449" s="272">
        <f>SUM(H444,H448)</f>
        <v>13000</v>
      </c>
      <c r="I449" s="324">
        <f>SUM(I444,I448)</f>
        <v>620</v>
      </c>
      <c r="J449" s="325" t="s">
        <v>135</v>
      </c>
      <c r="L449" s="326"/>
    </row>
    <row r="450" spans="1:12" ht="22.5" customHeight="1"/>
    <row r="451" spans="1:12" ht="22.5" customHeight="1">
      <c r="A451" s="185" t="s">
        <v>8</v>
      </c>
      <c r="B451" s="186" t="s">
        <v>524</v>
      </c>
      <c r="C451" s="187"/>
      <c r="D451" s="187"/>
      <c r="E451" s="187"/>
      <c r="F451" s="273"/>
      <c r="G451" s="189"/>
      <c r="H451" s="273"/>
      <c r="I451" s="187"/>
      <c r="J451" s="187"/>
      <c r="K451" s="187"/>
      <c r="L451" s="187"/>
    </row>
    <row r="452" spans="1:12" ht="22.5" customHeight="1">
      <c r="A452" s="190" t="s">
        <v>10</v>
      </c>
      <c r="B452" s="191">
        <v>45626</v>
      </c>
      <c r="C452" s="192" t="s">
        <v>525</v>
      </c>
      <c r="D452" s="193" t="s">
        <v>526</v>
      </c>
      <c r="E452" s="194">
        <v>8000</v>
      </c>
      <c r="F452" s="195">
        <f>SUM(E452*0.5)</f>
        <v>4000</v>
      </c>
      <c r="G452" s="196">
        <v>1</v>
      </c>
      <c r="H452" s="197">
        <f t="shared" ref="H452:H454" si="121">SUM(G452*200)</f>
        <v>200</v>
      </c>
      <c r="I452" s="194">
        <v>20</v>
      </c>
      <c r="J452" s="279">
        <v>8220</v>
      </c>
      <c r="K452" s="280" t="s">
        <v>13</v>
      </c>
      <c r="L452" s="281">
        <v>8000</v>
      </c>
    </row>
    <row r="453" spans="1:12" ht="22.5" customHeight="1">
      <c r="A453" s="198" t="s">
        <v>14</v>
      </c>
      <c r="B453" s="199">
        <v>45626</v>
      </c>
      <c r="C453" s="200" t="s">
        <v>527</v>
      </c>
      <c r="D453" s="201" t="s">
        <v>528</v>
      </c>
      <c r="E453" s="202">
        <v>8500</v>
      </c>
      <c r="F453" s="195">
        <f>SUM(E453*0.5)</f>
        <v>4250</v>
      </c>
      <c r="G453" s="203">
        <v>3</v>
      </c>
      <c r="H453" s="197">
        <f t="shared" si="121"/>
        <v>600</v>
      </c>
      <c r="I453" s="206">
        <v>20</v>
      </c>
      <c r="J453" s="282">
        <v>8620</v>
      </c>
      <c r="K453" s="283" t="s">
        <v>314</v>
      </c>
      <c r="L453" s="284">
        <v>8500</v>
      </c>
    </row>
    <row r="454" spans="1:12" ht="22.5" customHeight="1">
      <c r="A454" s="190" t="s">
        <v>18</v>
      </c>
      <c r="B454" s="199">
        <v>45626</v>
      </c>
      <c r="C454" s="204" t="s">
        <v>529</v>
      </c>
      <c r="D454" s="205" t="s">
        <v>530</v>
      </c>
      <c r="E454" s="202">
        <v>8000</v>
      </c>
      <c r="F454" s="195">
        <f t="shared" ref="F454:F473" si="122">SUM(E454*0.5)</f>
        <v>4000</v>
      </c>
      <c r="G454" s="203">
        <v>1</v>
      </c>
      <c r="H454" s="197">
        <f t="shared" si="121"/>
        <v>200</v>
      </c>
      <c r="I454" s="206">
        <v>20</v>
      </c>
      <c r="J454" s="282">
        <f>SUM(E454,H454:I454)</f>
        <v>8220</v>
      </c>
      <c r="K454" s="288" t="s">
        <v>21</v>
      </c>
      <c r="L454" s="284">
        <v>8000</v>
      </c>
    </row>
    <row r="455" spans="1:12" ht="22.5" customHeight="1">
      <c r="A455" s="190" t="s">
        <v>22</v>
      </c>
      <c r="B455" s="199">
        <v>45609</v>
      </c>
      <c r="C455" s="26" t="s">
        <v>531</v>
      </c>
      <c r="D455" s="205" t="s">
        <v>532</v>
      </c>
      <c r="E455" s="206">
        <v>7250</v>
      </c>
      <c r="F455" s="195">
        <f t="shared" si="122"/>
        <v>3625</v>
      </c>
      <c r="G455" s="203">
        <v>1</v>
      </c>
      <c r="H455" s="197">
        <f t="shared" ref="H455:H473" si="123">SUM(G455*200)</f>
        <v>200</v>
      </c>
      <c r="I455" s="206">
        <v>20</v>
      </c>
      <c r="J455" s="282">
        <f>SUM(E455,H455:I455)</f>
        <v>7470</v>
      </c>
      <c r="K455" s="290" t="s">
        <v>25</v>
      </c>
      <c r="L455" s="291">
        <v>5000</v>
      </c>
    </row>
    <row r="456" spans="1:12" ht="22.5" customHeight="1">
      <c r="A456" s="190" t="s">
        <v>26</v>
      </c>
      <c r="B456" s="199"/>
      <c r="C456" s="207" t="s">
        <v>162</v>
      </c>
      <c r="D456" s="208"/>
      <c r="E456" s="209"/>
      <c r="F456" s="195"/>
      <c r="G456" s="210"/>
      <c r="H456" s="197"/>
      <c r="I456" s="209"/>
      <c r="J456" s="254"/>
      <c r="K456" s="24"/>
      <c r="L456" s="291"/>
    </row>
    <row r="457" spans="1:12" ht="22.5" customHeight="1">
      <c r="A457" s="190" t="s">
        <v>30</v>
      </c>
      <c r="B457" s="199">
        <v>45740</v>
      </c>
      <c r="C457" s="204" t="s">
        <v>1089</v>
      </c>
      <c r="D457" s="205" t="s">
        <v>551</v>
      </c>
      <c r="E457" s="209">
        <v>6500</v>
      </c>
      <c r="F457" s="195">
        <v>3250</v>
      </c>
      <c r="G457" s="210">
        <v>0</v>
      </c>
      <c r="H457" s="197"/>
      <c r="I457" s="209"/>
      <c r="J457" s="254">
        <v>6500</v>
      </c>
      <c r="K457" s="294" t="s">
        <v>1070</v>
      </c>
      <c r="L457" s="287">
        <v>6500</v>
      </c>
    </row>
    <row r="458" spans="1:12" ht="22.5" customHeight="1">
      <c r="A458" s="190" t="s">
        <v>33</v>
      </c>
      <c r="B458" s="199">
        <v>45626</v>
      </c>
      <c r="C458" s="204" t="s">
        <v>533</v>
      </c>
      <c r="D458" s="205" t="s">
        <v>534</v>
      </c>
      <c r="E458" s="202">
        <v>6000</v>
      </c>
      <c r="F458" s="195">
        <f t="shared" si="122"/>
        <v>3000</v>
      </c>
      <c r="G458" s="210">
        <v>1</v>
      </c>
      <c r="H458" s="197">
        <f t="shared" si="123"/>
        <v>200</v>
      </c>
      <c r="I458" s="202">
        <v>20</v>
      </c>
      <c r="J458" s="197">
        <v>6220</v>
      </c>
      <c r="K458" s="288" t="s">
        <v>17</v>
      </c>
      <c r="L458" s="284">
        <v>6000</v>
      </c>
    </row>
    <row r="459" spans="1:12" ht="22.5" customHeight="1">
      <c r="A459" s="190" t="s">
        <v>35</v>
      </c>
      <c r="B459" s="199">
        <v>45602</v>
      </c>
      <c r="C459" s="211" t="s">
        <v>535</v>
      </c>
      <c r="D459" s="177" t="s">
        <v>536</v>
      </c>
      <c r="E459" s="212">
        <v>6000</v>
      </c>
      <c r="F459" s="195">
        <f t="shared" si="122"/>
        <v>3000</v>
      </c>
      <c r="G459" s="210">
        <v>1</v>
      </c>
      <c r="H459" s="197">
        <f t="shared" si="123"/>
        <v>200</v>
      </c>
      <c r="I459" s="206">
        <v>20</v>
      </c>
      <c r="J459" s="282">
        <v>6220</v>
      </c>
      <c r="K459" s="295" t="s">
        <v>38</v>
      </c>
      <c r="L459" s="284">
        <v>6000</v>
      </c>
    </row>
    <row r="460" spans="1:12" ht="22.5" customHeight="1">
      <c r="A460" s="213" t="s">
        <v>39</v>
      </c>
      <c r="B460" s="199">
        <v>45626</v>
      </c>
      <c r="C460" s="14" t="s">
        <v>537</v>
      </c>
      <c r="D460" s="205" t="s">
        <v>538</v>
      </c>
      <c r="E460" s="202">
        <v>8000</v>
      </c>
      <c r="F460" s="195">
        <f t="shared" si="122"/>
        <v>4000</v>
      </c>
      <c r="G460" s="203">
        <v>1</v>
      </c>
      <c r="H460" s="197">
        <f t="shared" si="123"/>
        <v>200</v>
      </c>
      <c r="I460" s="202">
        <v>20</v>
      </c>
      <c r="J460" s="282">
        <f>SUM(E460,H460:I460)</f>
        <v>8220</v>
      </c>
      <c r="K460" s="288" t="s">
        <v>42</v>
      </c>
      <c r="L460" s="284">
        <v>8000</v>
      </c>
    </row>
    <row r="461" spans="1:12" ht="22.5" customHeight="1">
      <c r="A461" s="213" t="s">
        <v>43</v>
      </c>
      <c r="B461" s="199">
        <v>45626</v>
      </c>
      <c r="C461" s="204" t="s">
        <v>539</v>
      </c>
      <c r="D461" s="14" t="s">
        <v>540</v>
      </c>
      <c r="E461" s="202">
        <v>8000</v>
      </c>
      <c r="F461" s="195">
        <f t="shared" si="122"/>
        <v>4000</v>
      </c>
      <c r="G461" s="203">
        <v>2</v>
      </c>
      <c r="H461" s="197">
        <f t="shared" si="123"/>
        <v>400</v>
      </c>
      <c r="I461" s="206">
        <v>20</v>
      </c>
      <c r="J461" s="282">
        <f>SUM(E461,H461:I461)</f>
        <v>8420</v>
      </c>
      <c r="K461" s="288" t="s">
        <v>46</v>
      </c>
      <c r="L461" s="284">
        <v>8000</v>
      </c>
    </row>
    <row r="462" spans="1:12" ht="22.5" customHeight="1">
      <c r="A462" s="213" t="s">
        <v>47</v>
      </c>
      <c r="B462" s="199">
        <v>45626</v>
      </c>
      <c r="C462" s="204" t="s">
        <v>541</v>
      </c>
      <c r="D462" s="205" t="s">
        <v>542</v>
      </c>
      <c r="E462" s="202">
        <v>8000</v>
      </c>
      <c r="F462" s="195">
        <f t="shared" si="122"/>
        <v>4000</v>
      </c>
      <c r="G462" s="203">
        <v>2</v>
      </c>
      <c r="H462" s="197">
        <f t="shared" si="123"/>
        <v>400</v>
      </c>
      <c r="I462" s="202">
        <v>20</v>
      </c>
      <c r="J462" s="282">
        <v>8600</v>
      </c>
      <c r="K462" s="288" t="s">
        <v>50</v>
      </c>
      <c r="L462" s="291">
        <v>8000</v>
      </c>
    </row>
    <row r="463" spans="1:12" ht="22.5" customHeight="1">
      <c r="A463" s="213" t="s">
        <v>51</v>
      </c>
      <c r="B463" s="199"/>
      <c r="C463" s="207" t="s">
        <v>162</v>
      </c>
      <c r="D463" s="205"/>
      <c r="E463" s="212"/>
      <c r="F463" s="195"/>
      <c r="G463" s="210"/>
      <c r="H463" s="197"/>
      <c r="I463" s="212"/>
      <c r="J463" s="282"/>
      <c r="K463" s="295"/>
      <c r="L463" s="284"/>
    </row>
    <row r="464" spans="1:12" ht="22.5" customHeight="1">
      <c r="A464" s="213" t="s">
        <v>55</v>
      </c>
      <c r="B464" s="199">
        <v>45625</v>
      </c>
      <c r="C464" s="204" t="s">
        <v>543</v>
      </c>
      <c r="D464" s="205" t="s">
        <v>544</v>
      </c>
      <c r="E464" s="202">
        <v>7500</v>
      </c>
      <c r="F464" s="195">
        <f t="shared" si="122"/>
        <v>3750</v>
      </c>
      <c r="G464" s="203">
        <v>2</v>
      </c>
      <c r="H464" s="197">
        <f t="shared" si="123"/>
        <v>400</v>
      </c>
      <c r="I464" s="206">
        <v>20</v>
      </c>
      <c r="J464" s="282">
        <v>7920</v>
      </c>
      <c r="K464" s="288" t="s">
        <v>57</v>
      </c>
      <c r="L464" s="284">
        <v>7500</v>
      </c>
    </row>
    <row r="465" spans="1:12" ht="22.5" customHeight="1">
      <c r="A465" s="213" t="s">
        <v>58</v>
      </c>
      <c r="B465" s="199">
        <v>45626</v>
      </c>
      <c r="C465" s="204" t="s">
        <v>545</v>
      </c>
      <c r="D465" s="205" t="s">
        <v>532</v>
      </c>
      <c r="E465" s="202">
        <v>6500</v>
      </c>
      <c r="F465" s="195">
        <f t="shared" si="122"/>
        <v>3250</v>
      </c>
      <c r="G465" s="203">
        <v>1</v>
      </c>
      <c r="H465" s="197">
        <f t="shared" si="123"/>
        <v>200</v>
      </c>
      <c r="I465" s="206">
        <v>20</v>
      </c>
      <c r="J465" s="254">
        <v>6620</v>
      </c>
      <c r="K465" s="296" t="s">
        <v>378</v>
      </c>
      <c r="L465" s="284">
        <v>6500</v>
      </c>
    </row>
    <row r="466" spans="1:12" ht="22.5" customHeight="1">
      <c r="A466" s="213" t="s">
        <v>60</v>
      </c>
      <c r="B466" s="199">
        <v>45613</v>
      </c>
      <c r="C466" s="204" t="s">
        <v>546</v>
      </c>
      <c r="D466" s="205" t="s">
        <v>532</v>
      </c>
      <c r="E466" s="202">
        <v>6500</v>
      </c>
      <c r="F466" s="195">
        <f t="shared" si="122"/>
        <v>3250</v>
      </c>
      <c r="G466" s="203">
        <v>2</v>
      </c>
      <c r="H466" s="197">
        <f t="shared" si="123"/>
        <v>400</v>
      </c>
      <c r="I466" s="206">
        <v>20</v>
      </c>
      <c r="J466" s="282">
        <v>6920</v>
      </c>
      <c r="K466" s="288" t="s">
        <v>506</v>
      </c>
      <c r="L466" s="284">
        <v>6500</v>
      </c>
    </row>
    <row r="467" spans="1:12" ht="22.5" customHeight="1">
      <c r="A467" s="214" t="s">
        <v>63</v>
      </c>
      <c r="B467" s="199"/>
      <c r="C467" s="204" t="s">
        <v>162</v>
      </c>
      <c r="D467" s="205"/>
      <c r="E467" s="206"/>
      <c r="F467" s="195"/>
      <c r="G467" s="203"/>
      <c r="H467" s="197"/>
      <c r="I467" s="206"/>
      <c r="J467" s="282"/>
      <c r="K467" s="288"/>
      <c r="L467" s="291"/>
    </row>
    <row r="468" spans="1:12" ht="22.5" customHeight="1">
      <c r="A468" s="214" t="s">
        <v>67</v>
      </c>
      <c r="B468" s="199"/>
      <c r="C468" s="204" t="s">
        <v>162</v>
      </c>
      <c r="D468" s="205"/>
      <c r="E468" s="206"/>
      <c r="F468" s="195"/>
      <c r="G468" s="203"/>
      <c r="H468" s="197">
        <f t="shared" si="123"/>
        <v>0</v>
      </c>
      <c r="I468" s="206"/>
      <c r="J468" s="282"/>
      <c r="K468" s="295"/>
      <c r="L468" s="284"/>
    </row>
    <row r="469" spans="1:12" ht="22.5" customHeight="1">
      <c r="A469" s="214" t="s">
        <v>71</v>
      </c>
      <c r="B469" s="199">
        <v>45626</v>
      </c>
      <c r="C469" s="204" t="s">
        <v>547</v>
      </c>
      <c r="D469" s="205" t="s">
        <v>548</v>
      </c>
      <c r="E469" s="206">
        <v>8500</v>
      </c>
      <c r="F469" s="195">
        <f t="shared" si="122"/>
        <v>4250</v>
      </c>
      <c r="G469" s="203">
        <v>2</v>
      </c>
      <c r="H469" s="197">
        <f t="shared" si="123"/>
        <v>400</v>
      </c>
      <c r="I469" s="206">
        <v>20</v>
      </c>
      <c r="J469" s="282">
        <v>8920</v>
      </c>
      <c r="K469" s="288" t="s">
        <v>383</v>
      </c>
      <c r="L469" s="291">
        <v>8500</v>
      </c>
    </row>
    <row r="470" spans="1:12" ht="22.5" customHeight="1">
      <c r="A470" s="214" t="s">
        <v>74</v>
      </c>
      <c r="B470" s="199">
        <v>45626</v>
      </c>
      <c r="C470" s="204" t="s">
        <v>549</v>
      </c>
      <c r="D470" s="205" t="s">
        <v>534</v>
      </c>
      <c r="E470" s="206">
        <v>8000</v>
      </c>
      <c r="F470" s="195">
        <f t="shared" si="122"/>
        <v>4000</v>
      </c>
      <c r="G470" s="203">
        <v>2</v>
      </c>
      <c r="H470" s="197">
        <f t="shared" si="123"/>
        <v>400</v>
      </c>
      <c r="I470" s="206">
        <v>20</v>
      </c>
      <c r="J470" s="282">
        <f>SUM(E470,H470:I470)</f>
        <v>8420</v>
      </c>
      <c r="K470" s="288" t="s">
        <v>76</v>
      </c>
      <c r="L470" s="291">
        <v>8000</v>
      </c>
    </row>
    <row r="471" spans="1:12" ht="22.5" customHeight="1">
      <c r="A471" s="214" t="s">
        <v>77</v>
      </c>
      <c r="B471" s="199">
        <v>45602</v>
      </c>
      <c r="C471" s="207" t="s">
        <v>550</v>
      </c>
      <c r="D471" s="205" t="s">
        <v>551</v>
      </c>
      <c r="E471" s="206">
        <v>8000</v>
      </c>
      <c r="F471" s="195">
        <f t="shared" ref="F471" si="124">SUM(E471*0.5)</f>
        <v>4000</v>
      </c>
      <c r="G471" s="203">
        <v>2</v>
      </c>
      <c r="H471" s="197">
        <f t="shared" ref="H471" si="125">SUM(G471*200)</f>
        <v>400</v>
      </c>
      <c r="I471" s="206">
        <v>20</v>
      </c>
      <c r="J471" s="282">
        <f>SUM(E471,H471:I471)</f>
        <v>8420</v>
      </c>
      <c r="K471" s="288" t="s">
        <v>340</v>
      </c>
      <c r="L471" s="291">
        <v>8000</v>
      </c>
    </row>
    <row r="472" spans="1:12" ht="22.5" customHeight="1">
      <c r="A472" s="214" t="s">
        <v>81</v>
      </c>
      <c r="B472" s="199">
        <v>45626</v>
      </c>
      <c r="C472" s="207" t="s">
        <v>552</v>
      </c>
      <c r="D472" s="177" t="s">
        <v>553</v>
      </c>
      <c r="E472" s="209">
        <v>6000</v>
      </c>
      <c r="F472" s="195">
        <f t="shared" si="122"/>
        <v>3000</v>
      </c>
      <c r="G472" s="210">
        <v>1</v>
      </c>
      <c r="H472" s="197">
        <f t="shared" si="123"/>
        <v>200</v>
      </c>
      <c r="I472" s="206">
        <v>20</v>
      </c>
      <c r="J472" s="282">
        <v>6220</v>
      </c>
      <c r="K472" s="295" t="s">
        <v>83</v>
      </c>
      <c r="L472" s="291">
        <v>6000</v>
      </c>
    </row>
    <row r="473" spans="1:12" ht="22.5" customHeight="1">
      <c r="A473" s="215" t="s">
        <v>84</v>
      </c>
      <c r="B473" s="216">
        <v>45626</v>
      </c>
      <c r="C473" s="217" t="s">
        <v>554</v>
      </c>
      <c r="D473" s="218" t="s">
        <v>548</v>
      </c>
      <c r="E473" s="219">
        <v>6500</v>
      </c>
      <c r="F473" s="195">
        <f t="shared" si="122"/>
        <v>3250</v>
      </c>
      <c r="G473" s="220">
        <v>1</v>
      </c>
      <c r="H473" s="197">
        <f t="shared" si="123"/>
        <v>200</v>
      </c>
      <c r="I473" s="219">
        <v>20</v>
      </c>
      <c r="J473" s="303">
        <v>6720</v>
      </c>
      <c r="K473" s="304" t="s">
        <v>390</v>
      </c>
      <c r="L473" s="305">
        <v>6500</v>
      </c>
    </row>
    <row r="474" spans="1:12" ht="22.5" customHeight="1">
      <c r="A474" s="221"/>
      <c r="B474" s="222"/>
      <c r="C474" s="223"/>
      <c r="D474" s="224"/>
      <c r="E474" s="225">
        <f>SUM(E452:E473)</f>
        <v>131750</v>
      </c>
      <c r="F474" s="226">
        <f>SUM(F452:F473)</f>
        <v>65875</v>
      </c>
      <c r="G474" s="225">
        <f t="shared" ref="G474:J474" si="126">SUM(G452:G473)</f>
        <v>26</v>
      </c>
      <c r="H474" s="227">
        <f t="shared" si="126"/>
        <v>5200</v>
      </c>
      <c r="I474" s="225">
        <f t="shared" si="126"/>
        <v>340</v>
      </c>
      <c r="J474" s="227">
        <f t="shared" si="126"/>
        <v>136870</v>
      </c>
      <c r="K474" s="306"/>
      <c r="L474" s="307">
        <f>SUM(L452:L473)</f>
        <v>129500</v>
      </c>
    </row>
    <row r="475" spans="1:12" ht="22.5" customHeight="1">
      <c r="A475" s="228" t="s">
        <v>88</v>
      </c>
      <c r="B475" s="229"/>
      <c r="C475" s="230"/>
      <c r="D475" s="205"/>
      <c r="E475" s="195"/>
      <c r="F475" s="195"/>
      <c r="G475" s="231"/>
      <c r="H475" s="195"/>
      <c r="I475" s="195"/>
      <c r="J475" s="230"/>
      <c r="K475" s="309"/>
      <c r="L475" s="291"/>
    </row>
    <row r="476" spans="1:12" ht="22.5" customHeight="1">
      <c r="A476" s="176" t="s">
        <v>89</v>
      </c>
      <c r="B476" s="199">
        <v>45608</v>
      </c>
      <c r="C476" s="204" t="s">
        <v>90</v>
      </c>
      <c r="D476" s="205" t="s">
        <v>555</v>
      </c>
      <c r="E476" s="206">
        <v>10000</v>
      </c>
      <c r="F476" s="195"/>
      <c r="G476" s="232">
        <v>2</v>
      </c>
      <c r="H476" s="197">
        <f t="shared" ref="H476:H480" si="127">SUM(G476*200)</f>
        <v>400</v>
      </c>
      <c r="I476" s="206">
        <v>20</v>
      </c>
      <c r="J476" s="282">
        <v>10420</v>
      </c>
      <c r="K476" s="288" t="s">
        <v>92</v>
      </c>
      <c r="L476" s="291">
        <v>10000</v>
      </c>
    </row>
    <row r="477" spans="1:12" ht="22.5" customHeight="1">
      <c r="A477" s="176" t="s">
        <v>93</v>
      </c>
      <c r="B477" s="199">
        <v>45607</v>
      </c>
      <c r="C477" s="207" t="s">
        <v>94</v>
      </c>
      <c r="D477" s="177" t="s">
        <v>556</v>
      </c>
      <c r="E477" s="212">
        <v>10000</v>
      </c>
      <c r="F477" s="233"/>
      <c r="G477" s="210">
        <v>2</v>
      </c>
      <c r="H477" s="197">
        <f t="shared" si="127"/>
        <v>400</v>
      </c>
      <c r="I477" s="202">
        <v>20</v>
      </c>
      <c r="J477" s="282">
        <v>10420</v>
      </c>
      <c r="K477" s="310" t="s">
        <v>96</v>
      </c>
      <c r="L477" s="284">
        <v>6000</v>
      </c>
    </row>
    <row r="478" spans="1:12" ht="22.5" customHeight="1">
      <c r="A478" s="176" t="s">
        <v>97</v>
      </c>
      <c r="B478" s="199">
        <v>45612</v>
      </c>
      <c r="C478" s="204" t="s">
        <v>98</v>
      </c>
      <c r="D478" s="205" t="s">
        <v>536</v>
      </c>
      <c r="E478" s="234">
        <v>12000</v>
      </c>
      <c r="F478" s="235"/>
      <c r="G478" s="232">
        <v>2</v>
      </c>
      <c r="H478" s="197">
        <f t="shared" si="127"/>
        <v>400</v>
      </c>
      <c r="I478" s="206">
        <v>20</v>
      </c>
      <c r="J478" s="282">
        <v>12400</v>
      </c>
      <c r="K478" s="288" t="s">
        <v>99</v>
      </c>
      <c r="L478" s="291"/>
    </row>
    <row r="479" spans="1:12" ht="22.5" customHeight="1">
      <c r="A479" s="176" t="s">
        <v>100</v>
      </c>
      <c r="B479" s="199">
        <v>45631</v>
      </c>
      <c r="C479" s="236" t="s">
        <v>474</v>
      </c>
      <c r="D479" s="205" t="s">
        <v>557</v>
      </c>
      <c r="E479" s="206">
        <v>12000</v>
      </c>
      <c r="F479" s="195"/>
      <c r="G479" s="232">
        <v>4</v>
      </c>
      <c r="H479" s="197">
        <f t="shared" si="127"/>
        <v>800</v>
      </c>
      <c r="I479" s="206">
        <v>20</v>
      </c>
      <c r="J479" s="282">
        <v>12820</v>
      </c>
      <c r="K479" s="311" t="s">
        <v>519</v>
      </c>
      <c r="L479" s="291"/>
    </row>
    <row r="480" spans="1:12" ht="22.5" customHeight="1">
      <c r="A480" s="176" t="s">
        <v>104</v>
      </c>
      <c r="B480" s="199">
        <v>45631</v>
      </c>
      <c r="C480" s="237" t="s">
        <v>105</v>
      </c>
      <c r="D480" s="205" t="s">
        <v>558</v>
      </c>
      <c r="E480" s="206">
        <v>12000</v>
      </c>
      <c r="F480" s="195"/>
      <c r="G480" s="238">
        <v>3</v>
      </c>
      <c r="H480" s="197">
        <f t="shared" si="127"/>
        <v>600</v>
      </c>
      <c r="I480" s="219">
        <v>20</v>
      </c>
      <c r="J480" s="282">
        <v>12620</v>
      </c>
      <c r="K480" s="311" t="s">
        <v>107</v>
      </c>
      <c r="L480" s="291">
        <v>12000</v>
      </c>
    </row>
    <row r="481" spans="1:12" ht="22.5" customHeight="1">
      <c r="A481" s="239"/>
      <c r="B481" s="240"/>
      <c r="C481" s="241" t="s">
        <v>108</v>
      </c>
      <c r="D481" s="242"/>
      <c r="E481" s="243">
        <f>SUM(E476:E480)</f>
        <v>56000</v>
      </c>
      <c r="F481" s="226"/>
      <c r="G481" s="226">
        <f>SUM(G476:G480)</f>
        <v>13</v>
      </c>
      <c r="H481" s="226">
        <f>SUM(H476:H480)</f>
        <v>2600</v>
      </c>
      <c r="I481" s="243">
        <f>SUM(I476:I480)</f>
        <v>100</v>
      </c>
      <c r="J481" s="226">
        <f>SUM(J476:J480)</f>
        <v>58680</v>
      </c>
      <c r="K481" s="306"/>
      <c r="L481" s="312">
        <f>SUM(L476:L480)</f>
        <v>28000</v>
      </c>
    </row>
    <row r="482" spans="1:12" ht="22.5" customHeight="1">
      <c r="A482" s="228" t="s">
        <v>109</v>
      </c>
      <c r="B482" s="244"/>
      <c r="C482" s="245"/>
      <c r="D482" s="205"/>
      <c r="E482" s="195"/>
      <c r="F482" s="195"/>
      <c r="G482" s="231"/>
      <c r="H482" s="195"/>
      <c r="I482" s="195"/>
      <c r="J482" s="195"/>
      <c r="K482" s="309"/>
      <c r="L482" s="313"/>
    </row>
    <row r="483" spans="1:12" ht="22.5" customHeight="1">
      <c r="A483" s="246" t="s">
        <v>110</v>
      </c>
      <c r="B483" s="247"/>
      <c r="C483" s="248" t="s">
        <v>111</v>
      </c>
      <c r="D483" s="242"/>
      <c r="E483" s="243"/>
      <c r="F483" s="226"/>
      <c r="G483" s="249"/>
      <c r="H483" s="226"/>
      <c r="I483" s="243"/>
      <c r="J483" s="226"/>
      <c r="K483" s="306"/>
      <c r="L483" s="312"/>
    </row>
    <row r="484" spans="1:12" ht="22.5" customHeight="1">
      <c r="A484" s="228" t="s">
        <v>112</v>
      </c>
      <c r="B484" s="250"/>
      <c r="C484" s="245"/>
      <c r="D484" s="205"/>
      <c r="E484" s="195"/>
      <c r="F484" s="195"/>
      <c r="G484" s="231"/>
      <c r="H484" s="195"/>
      <c r="I484" s="195"/>
      <c r="J484" s="195"/>
      <c r="K484" s="309"/>
      <c r="L484" s="313"/>
    </row>
    <row r="485" spans="1:12" ht="22.5" customHeight="1">
      <c r="A485" s="176" t="s">
        <v>113</v>
      </c>
      <c r="B485" s="199">
        <v>45616</v>
      </c>
      <c r="C485" s="251" t="s">
        <v>114</v>
      </c>
      <c r="D485" s="177" t="s">
        <v>538</v>
      </c>
      <c r="E485" s="206">
        <v>12600</v>
      </c>
      <c r="F485" s="230"/>
      <c r="G485" s="209">
        <v>2</v>
      </c>
      <c r="H485" s="197">
        <f t="shared" ref="H485:H487" si="128">SUM(G485*200)</f>
        <v>400</v>
      </c>
      <c r="I485" s="314">
        <v>20</v>
      </c>
      <c r="J485" s="282">
        <v>12400</v>
      </c>
      <c r="K485" s="295" t="s">
        <v>115</v>
      </c>
      <c r="L485" s="291">
        <v>12000</v>
      </c>
    </row>
    <row r="486" spans="1:12" ht="22.5" customHeight="1">
      <c r="A486" s="176" t="s">
        <v>116</v>
      </c>
      <c r="B486" s="199">
        <v>45598</v>
      </c>
      <c r="C486" s="252" t="s">
        <v>117</v>
      </c>
      <c r="D486" s="205" t="s">
        <v>559</v>
      </c>
      <c r="E486" s="206">
        <v>7000</v>
      </c>
      <c r="F486" s="195"/>
      <c r="G486" s="209">
        <v>1</v>
      </c>
      <c r="H486" s="197">
        <f t="shared" si="128"/>
        <v>200</v>
      </c>
      <c r="I486" s="314">
        <v>20</v>
      </c>
      <c r="J486" s="282">
        <v>7220</v>
      </c>
      <c r="K486" s="288" t="s">
        <v>119</v>
      </c>
      <c r="L486" s="291">
        <v>7000</v>
      </c>
    </row>
    <row r="487" spans="1:12" ht="22.5" customHeight="1">
      <c r="A487" s="176" t="s">
        <v>120</v>
      </c>
      <c r="B487" s="199">
        <v>45625</v>
      </c>
      <c r="C487" s="253" t="s">
        <v>121</v>
      </c>
      <c r="D487" s="177" t="s">
        <v>534</v>
      </c>
      <c r="E487" s="209">
        <v>10000</v>
      </c>
      <c r="F487" s="254"/>
      <c r="G487" s="209">
        <v>2</v>
      </c>
      <c r="H487" s="197">
        <f t="shared" si="128"/>
        <v>400</v>
      </c>
      <c r="I487" s="315">
        <v>20</v>
      </c>
      <c r="J487" s="254">
        <v>10420</v>
      </c>
      <c r="K487" s="316" t="s">
        <v>122</v>
      </c>
      <c r="L487" s="291">
        <v>10000</v>
      </c>
    </row>
    <row r="488" spans="1:12" ht="22.5" customHeight="1">
      <c r="A488" s="246"/>
      <c r="B488" s="247"/>
      <c r="C488" s="255"/>
      <c r="D488" s="242"/>
      <c r="E488" s="256">
        <f>SUM(E485:E487)</f>
        <v>29600</v>
      </c>
      <c r="F488" s="257"/>
      <c r="G488" s="256">
        <f>SUM(G485:G487)</f>
        <v>5</v>
      </c>
      <c r="H488" s="257">
        <f>SUM(H485:H487)</f>
        <v>1000</v>
      </c>
      <c r="I488" s="257">
        <f>SUM(I485:I487)</f>
        <v>60</v>
      </c>
      <c r="J488" s="257">
        <f>SUM(J485:J487)</f>
        <v>30040</v>
      </c>
      <c r="K488" s="317"/>
      <c r="L488" s="312">
        <f>SUM(L485:L487)</f>
        <v>29000</v>
      </c>
    </row>
    <row r="489" spans="1:12" ht="22.5" customHeight="1">
      <c r="B489" s="244"/>
      <c r="C489" s="80"/>
      <c r="D489" s="258"/>
      <c r="E489" s="259">
        <f>SUM(E474,E481,E483,E488)</f>
        <v>217350</v>
      </c>
      <c r="F489" s="260"/>
      <c r="G489" s="259">
        <f>SUM(G474,G481,G483,G488)</f>
        <v>44</v>
      </c>
      <c r="H489" s="259">
        <f>SUM(H474,H481,H483,H488)</f>
        <v>8800</v>
      </c>
      <c r="I489" s="318">
        <f>SUM(I474,I481,I483,I488)</f>
        <v>500</v>
      </c>
      <c r="J489" s="259">
        <f>SUM(J474,J481,J483,J488)</f>
        <v>225590</v>
      </c>
      <c r="K489" s="319"/>
      <c r="L489" s="291"/>
    </row>
    <row r="490" spans="1:12" ht="22.5" customHeight="1">
      <c r="A490" s="228" t="s">
        <v>123</v>
      </c>
      <c r="B490" s="261"/>
      <c r="C490" s="262"/>
      <c r="D490" s="15"/>
      <c r="E490" s="195"/>
      <c r="F490" s="263" t="s">
        <v>124</v>
      </c>
      <c r="G490" s="264"/>
      <c r="H490" s="195"/>
      <c r="I490" s="195"/>
      <c r="J490" s="230"/>
      <c r="K490" s="309"/>
      <c r="L490" s="284"/>
    </row>
    <row r="491" spans="1:12" ht="22.5" customHeight="1">
      <c r="A491" s="176" t="s">
        <v>125</v>
      </c>
      <c r="B491" s="199">
        <v>45597</v>
      </c>
      <c r="C491" s="265" t="s">
        <v>126</v>
      </c>
      <c r="D491" s="205" t="s">
        <v>560</v>
      </c>
      <c r="E491" s="202">
        <v>5000</v>
      </c>
      <c r="F491" s="266">
        <v>325</v>
      </c>
      <c r="G491" s="203">
        <v>2</v>
      </c>
      <c r="H491" s="266">
        <f t="shared" ref="H491:H492" si="129">SUM(G491*200)</f>
        <v>400</v>
      </c>
      <c r="I491" s="202">
        <v>20</v>
      </c>
      <c r="J491" s="282">
        <f>SUM(E491,F491,H491,I491)</f>
        <v>5745</v>
      </c>
      <c r="K491" s="319" t="s">
        <v>128</v>
      </c>
      <c r="L491" s="284">
        <v>5000</v>
      </c>
    </row>
    <row r="492" spans="1:12" ht="22.5" customHeight="1">
      <c r="A492" s="176" t="s">
        <v>129</v>
      </c>
      <c r="B492" s="199">
        <v>45631</v>
      </c>
      <c r="C492" s="265" t="s">
        <v>130</v>
      </c>
      <c r="D492" s="205" t="s">
        <v>561</v>
      </c>
      <c r="E492" s="206">
        <v>5500</v>
      </c>
      <c r="F492" s="195"/>
      <c r="G492" s="203">
        <v>1</v>
      </c>
      <c r="H492" s="266">
        <f t="shared" si="129"/>
        <v>200</v>
      </c>
      <c r="I492" s="206">
        <v>20</v>
      </c>
      <c r="J492" s="282">
        <f>SUM(E492,H492:I492)</f>
        <v>5720</v>
      </c>
      <c r="K492" s="319" t="s">
        <v>132</v>
      </c>
      <c r="L492" s="291">
        <v>5500</v>
      </c>
    </row>
    <row r="493" spans="1:12" ht="22.5" customHeight="1">
      <c r="A493" s="267" t="s">
        <v>133</v>
      </c>
      <c r="B493" s="268"/>
      <c r="C493" s="269"/>
      <c r="D493" s="242"/>
      <c r="E493" s="270">
        <f>SUM(E491:E492)</f>
        <v>10500</v>
      </c>
      <c r="F493" s="226">
        <f t="shared" ref="F493:I493" si="130">SUM(F491:F492)</f>
        <v>325</v>
      </c>
      <c r="G493" s="243">
        <f t="shared" si="130"/>
        <v>3</v>
      </c>
      <c r="H493" s="226">
        <f t="shared" si="130"/>
        <v>600</v>
      </c>
      <c r="I493" s="320">
        <f t="shared" si="130"/>
        <v>40</v>
      </c>
      <c r="J493" s="321">
        <f>SUM(F493,H493,I493,)</f>
        <v>965</v>
      </c>
      <c r="K493" s="322"/>
      <c r="L493" s="323"/>
    </row>
    <row r="494" spans="1:12" ht="22.5" customHeight="1">
      <c r="E494" s="271" t="s">
        <v>134</v>
      </c>
      <c r="F494" s="272">
        <f>SUM(F489,F493)</f>
        <v>325</v>
      </c>
      <c r="H494" s="272">
        <f>SUM(H489,H493)</f>
        <v>9400</v>
      </c>
      <c r="I494" s="324">
        <f>SUM(I489,I493)</f>
        <v>540</v>
      </c>
      <c r="J494" s="325" t="s">
        <v>135</v>
      </c>
      <c r="L494" s="326"/>
    </row>
    <row r="495" spans="1:12" ht="22.5" customHeight="1"/>
    <row r="496" spans="1:12" ht="22.5" customHeight="1">
      <c r="A496" s="185" t="s">
        <v>8</v>
      </c>
      <c r="B496" s="186" t="s">
        <v>562</v>
      </c>
      <c r="C496" s="187"/>
      <c r="D496" s="187"/>
      <c r="E496" s="187"/>
      <c r="F496" s="273"/>
      <c r="G496" s="189"/>
      <c r="H496" s="273"/>
      <c r="I496" s="187"/>
      <c r="J496" s="187"/>
      <c r="K496" s="187"/>
      <c r="L496" s="187"/>
    </row>
    <row r="497" spans="1:12" ht="22.5" customHeight="1">
      <c r="A497" s="190" t="s">
        <v>10</v>
      </c>
      <c r="B497" s="191">
        <v>45662</v>
      </c>
      <c r="C497" s="192" t="s">
        <v>898</v>
      </c>
      <c r="D497" s="193" t="s">
        <v>563</v>
      </c>
      <c r="E497" s="194">
        <v>8000</v>
      </c>
      <c r="F497" s="195">
        <f>SUM(E497*0.5)</f>
        <v>4000</v>
      </c>
      <c r="G497" s="196">
        <v>1</v>
      </c>
      <c r="H497" s="197">
        <f t="shared" ref="H497:H499" si="131">SUM(G497*200)</f>
        <v>200</v>
      </c>
      <c r="I497" s="194">
        <v>20</v>
      </c>
      <c r="J497" s="279">
        <v>8220</v>
      </c>
      <c r="K497" s="280" t="s">
        <v>13</v>
      </c>
      <c r="L497" s="281">
        <v>8000</v>
      </c>
    </row>
    <row r="498" spans="1:12" ht="22.5" customHeight="1">
      <c r="A498" s="198" t="s">
        <v>14</v>
      </c>
      <c r="B498" s="199">
        <v>45659</v>
      </c>
      <c r="C498" s="200" t="s">
        <v>896</v>
      </c>
      <c r="D498" s="201" t="s">
        <v>564</v>
      </c>
      <c r="E498" s="202">
        <v>8500</v>
      </c>
      <c r="F498" s="195">
        <f>SUM(E498*0.5)</f>
        <v>4250</v>
      </c>
      <c r="G498" s="203">
        <v>3</v>
      </c>
      <c r="H498" s="197">
        <f t="shared" si="131"/>
        <v>600</v>
      </c>
      <c r="I498" s="206">
        <v>20</v>
      </c>
      <c r="J498" s="282">
        <v>8620</v>
      </c>
      <c r="K498" s="283" t="s">
        <v>314</v>
      </c>
      <c r="L498" s="284">
        <v>8500</v>
      </c>
    </row>
    <row r="499" spans="1:12" ht="22.5" customHeight="1">
      <c r="A499" s="190" t="s">
        <v>18</v>
      </c>
      <c r="B499" s="199">
        <v>45655</v>
      </c>
      <c r="C499" s="204" t="s">
        <v>565</v>
      </c>
      <c r="D499" s="205" t="s">
        <v>566</v>
      </c>
      <c r="E499" s="202">
        <v>8000</v>
      </c>
      <c r="F499" s="195">
        <f t="shared" ref="F499:F518" si="132">SUM(E499*0.5)</f>
        <v>4000</v>
      </c>
      <c r="G499" s="203">
        <v>1</v>
      </c>
      <c r="H499" s="197">
        <f t="shared" si="131"/>
        <v>200</v>
      </c>
      <c r="I499" s="206">
        <v>20</v>
      </c>
      <c r="J499" s="282">
        <f>SUM(E499,H499:I499)</f>
        <v>8220</v>
      </c>
      <c r="K499" s="288" t="s">
        <v>21</v>
      </c>
      <c r="L499" s="284">
        <v>8000</v>
      </c>
    </row>
    <row r="500" spans="1:12" ht="22.5" customHeight="1">
      <c r="A500" s="190" t="s">
        <v>22</v>
      </c>
      <c r="B500" s="199">
        <v>45628</v>
      </c>
      <c r="C500" s="26" t="s">
        <v>567</v>
      </c>
      <c r="D500" s="205" t="s">
        <v>568</v>
      </c>
      <c r="E500" s="206">
        <v>7250</v>
      </c>
      <c r="F500" s="195">
        <f t="shared" si="132"/>
        <v>3625</v>
      </c>
      <c r="G500" s="203">
        <v>1</v>
      </c>
      <c r="H500" s="197">
        <f t="shared" ref="H500:H518" si="133">SUM(G500*200)</f>
        <v>200</v>
      </c>
      <c r="I500" s="206">
        <v>20</v>
      </c>
      <c r="J500" s="282">
        <f>SUM(E500,H500:I500)</f>
        <v>7470</v>
      </c>
      <c r="K500" s="290" t="s">
        <v>25</v>
      </c>
      <c r="L500" s="291">
        <v>5000</v>
      </c>
    </row>
    <row r="501" spans="1:12" ht="22.5" customHeight="1">
      <c r="A501" s="190" t="s">
        <v>26</v>
      </c>
      <c r="B501" s="199"/>
      <c r="C501" s="207" t="s">
        <v>162</v>
      </c>
      <c r="D501" s="208"/>
      <c r="E501" s="209"/>
      <c r="F501" s="195"/>
      <c r="G501" s="210"/>
      <c r="H501" s="197"/>
      <c r="I501" s="209"/>
      <c r="J501" s="254"/>
      <c r="K501" s="24"/>
      <c r="L501" s="291"/>
    </row>
    <row r="502" spans="1:12" ht="22.5" customHeight="1">
      <c r="A502" s="190" t="s">
        <v>30</v>
      </c>
      <c r="B502" s="199">
        <v>45740</v>
      </c>
      <c r="C502" s="204" t="s">
        <v>1089</v>
      </c>
      <c r="D502" s="205" t="s">
        <v>590</v>
      </c>
      <c r="E502" s="209">
        <v>6500</v>
      </c>
      <c r="F502" s="195">
        <v>3250</v>
      </c>
      <c r="G502" s="210">
        <v>0</v>
      </c>
      <c r="H502" s="197"/>
      <c r="I502" s="209"/>
      <c r="J502" s="254">
        <v>6500</v>
      </c>
      <c r="K502" s="294" t="s">
        <v>1070</v>
      </c>
      <c r="L502" s="287">
        <v>6500</v>
      </c>
    </row>
    <row r="503" spans="1:12" ht="22.5" customHeight="1">
      <c r="A503" s="190" t="s">
        <v>33</v>
      </c>
      <c r="B503" s="199">
        <v>45663</v>
      </c>
      <c r="C503" s="204" t="s">
        <v>899</v>
      </c>
      <c r="D503" s="205" t="s">
        <v>569</v>
      </c>
      <c r="E503" s="202">
        <v>6000</v>
      </c>
      <c r="F503" s="195">
        <f t="shared" si="132"/>
        <v>3000</v>
      </c>
      <c r="G503" s="210">
        <v>1</v>
      </c>
      <c r="H503" s="197">
        <f t="shared" si="133"/>
        <v>200</v>
      </c>
      <c r="I503" s="202">
        <v>20</v>
      </c>
      <c r="J503" s="197">
        <v>6220</v>
      </c>
      <c r="K503" s="288" t="s">
        <v>17</v>
      </c>
      <c r="L503" s="284">
        <v>6000</v>
      </c>
    </row>
    <row r="504" spans="1:12" ht="22.5" customHeight="1">
      <c r="A504" s="190" t="s">
        <v>35</v>
      </c>
      <c r="B504" s="199">
        <v>45627</v>
      </c>
      <c r="C504" s="211" t="s">
        <v>570</v>
      </c>
      <c r="D504" s="177" t="s">
        <v>571</v>
      </c>
      <c r="E504" s="212">
        <v>6000</v>
      </c>
      <c r="F504" s="195">
        <f t="shared" si="132"/>
        <v>3000</v>
      </c>
      <c r="G504" s="210">
        <v>1</v>
      </c>
      <c r="H504" s="197">
        <f t="shared" si="133"/>
        <v>200</v>
      </c>
      <c r="I504" s="206">
        <v>20</v>
      </c>
      <c r="J504" s="282">
        <v>6220</v>
      </c>
      <c r="K504" s="295" t="s">
        <v>38</v>
      </c>
      <c r="L504" s="284">
        <v>6000</v>
      </c>
    </row>
    <row r="505" spans="1:12" ht="22.5" customHeight="1">
      <c r="A505" s="213" t="s">
        <v>39</v>
      </c>
      <c r="B505" s="199">
        <v>45659</v>
      </c>
      <c r="C505" s="14" t="s">
        <v>897</v>
      </c>
      <c r="D505" s="205" t="s">
        <v>572</v>
      </c>
      <c r="E505" s="202">
        <v>8000</v>
      </c>
      <c r="F505" s="195">
        <f t="shared" si="132"/>
        <v>4000</v>
      </c>
      <c r="G505" s="203">
        <v>1</v>
      </c>
      <c r="H505" s="197">
        <f t="shared" si="133"/>
        <v>200</v>
      </c>
      <c r="I505" s="202">
        <v>20</v>
      </c>
      <c r="J505" s="282">
        <f>SUM(E505,H505:I505)</f>
        <v>8220</v>
      </c>
      <c r="K505" s="288" t="s">
        <v>42</v>
      </c>
      <c r="L505" s="284">
        <v>8000</v>
      </c>
    </row>
    <row r="506" spans="1:12" ht="22.5" customHeight="1">
      <c r="A506" s="213" t="s">
        <v>43</v>
      </c>
      <c r="B506" s="199">
        <v>45659</v>
      </c>
      <c r="C506" s="204" t="s">
        <v>895</v>
      </c>
      <c r="D506" s="14" t="s">
        <v>573</v>
      </c>
      <c r="E506" s="202">
        <v>8000</v>
      </c>
      <c r="F506" s="195">
        <f t="shared" si="132"/>
        <v>4000</v>
      </c>
      <c r="G506" s="203">
        <v>2</v>
      </c>
      <c r="H506" s="197">
        <f t="shared" si="133"/>
        <v>400</v>
      </c>
      <c r="I506" s="206">
        <v>20</v>
      </c>
      <c r="J506" s="282">
        <f>SUM(E506,H506:I506)</f>
        <v>8420</v>
      </c>
      <c r="K506" s="288" t="s">
        <v>46</v>
      </c>
      <c r="L506" s="284">
        <v>8000</v>
      </c>
    </row>
    <row r="507" spans="1:12" ht="22.5" customHeight="1">
      <c r="A507" s="213" t="s">
        <v>47</v>
      </c>
      <c r="B507" s="199">
        <v>45657</v>
      </c>
      <c r="C507" s="204" t="s">
        <v>574</v>
      </c>
      <c r="D507" s="205" t="s">
        <v>575</v>
      </c>
      <c r="E507" s="202">
        <v>8000</v>
      </c>
      <c r="F507" s="195">
        <f t="shared" si="132"/>
        <v>4000</v>
      </c>
      <c r="G507" s="203">
        <v>2</v>
      </c>
      <c r="H507" s="197">
        <f t="shared" si="133"/>
        <v>400</v>
      </c>
      <c r="I507" s="202">
        <v>20</v>
      </c>
      <c r="J507" s="282">
        <v>8600</v>
      </c>
      <c r="K507" s="288" t="s">
        <v>50</v>
      </c>
      <c r="L507" s="291">
        <v>8000</v>
      </c>
    </row>
    <row r="508" spans="1:12" ht="22.5" customHeight="1">
      <c r="A508" s="213" t="s">
        <v>51</v>
      </c>
      <c r="B508" s="199">
        <v>45641</v>
      </c>
      <c r="C508" s="204" t="s">
        <v>576</v>
      </c>
      <c r="D508" s="205" t="s">
        <v>569</v>
      </c>
      <c r="E508" s="212">
        <v>8500</v>
      </c>
      <c r="F508" s="195">
        <f t="shared" si="132"/>
        <v>4250</v>
      </c>
      <c r="G508" s="210">
        <v>2</v>
      </c>
      <c r="H508" s="197">
        <f t="shared" si="133"/>
        <v>400</v>
      </c>
      <c r="I508" s="212">
        <v>20</v>
      </c>
      <c r="J508" s="282">
        <v>8920</v>
      </c>
      <c r="K508" s="295" t="s">
        <v>577</v>
      </c>
      <c r="L508" s="284">
        <v>8500</v>
      </c>
    </row>
    <row r="509" spans="1:12" ht="22.5" customHeight="1">
      <c r="A509" s="213" t="s">
        <v>55</v>
      </c>
      <c r="B509" s="199">
        <v>45655</v>
      </c>
      <c r="C509" s="204" t="s">
        <v>578</v>
      </c>
      <c r="D509" s="205" t="s">
        <v>575</v>
      </c>
      <c r="E509" s="202">
        <v>7500</v>
      </c>
      <c r="F509" s="195">
        <f t="shared" si="132"/>
        <v>3750</v>
      </c>
      <c r="G509" s="203">
        <v>2</v>
      </c>
      <c r="H509" s="197">
        <f t="shared" si="133"/>
        <v>400</v>
      </c>
      <c r="I509" s="206">
        <v>20</v>
      </c>
      <c r="J509" s="282">
        <v>7920</v>
      </c>
      <c r="K509" s="288" t="s">
        <v>57</v>
      </c>
      <c r="L509" s="284">
        <v>7500</v>
      </c>
    </row>
    <row r="510" spans="1:12" ht="22.5" customHeight="1">
      <c r="A510" s="213" t="s">
        <v>58</v>
      </c>
      <c r="B510" s="199">
        <v>45645</v>
      </c>
      <c r="C510" s="204" t="s">
        <v>579</v>
      </c>
      <c r="D510" s="205" t="s">
        <v>580</v>
      </c>
      <c r="E510" s="202">
        <v>6500</v>
      </c>
      <c r="F510" s="195">
        <f t="shared" si="132"/>
        <v>3250</v>
      </c>
      <c r="G510" s="203">
        <v>1</v>
      </c>
      <c r="H510" s="197">
        <f t="shared" si="133"/>
        <v>200</v>
      </c>
      <c r="I510" s="206">
        <v>20</v>
      </c>
      <c r="J510" s="254">
        <v>6620</v>
      </c>
      <c r="K510" s="296" t="s">
        <v>378</v>
      </c>
      <c r="L510" s="284">
        <v>6500</v>
      </c>
    </row>
    <row r="511" spans="1:12" ht="22.5" customHeight="1">
      <c r="A511" s="213" t="s">
        <v>60</v>
      </c>
      <c r="B511" s="199">
        <v>17</v>
      </c>
      <c r="C511" s="204" t="s">
        <v>581</v>
      </c>
      <c r="D511" s="205" t="s">
        <v>568</v>
      </c>
      <c r="E511" s="202">
        <v>6500</v>
      </c>
      <c r="F511" s="195">
        <f t="shared" si="132"/>
        <v>3250</v>
      </c>
      <c r="G511" s="203">
        <v>2</v>
      </c>
      <c r="H511" s="197">
        <f t="shared" si="133"/>
        <v>400</v>
      </c>
      <c r="I511" s="206">
        <v>20</v>
      </c>
      <c r="J511" s="282">
        <v>6920</v>
      </c>
      <c r="K511" s="288" t="s">
        <v>506</v>
      </c>
      <c r="L511" s="284">
        <v>6500</v>
      </c>
    </row>
    <row r="512" spans="1:12" ht="22.5" customHeight="1">
      <c r="A512" s="214" t="s">
        <v>63</v>
      </c>
      <c r="B512" s="199">
        <v>45630</v>
      </c>
      <c r="C512" s="204" t="s">
        <v>582</v>
      </c>
      <c r="D512" s="205" t="s">
        <v>583</v>
      </c>
      <c r="E512" s="206">
        <v>9000</v>
      </c>
      <c r="F512" s="195">
        <f t="shared" si="132"/>
        <v>4500</v>
      </c>
      <c r="G512" s="203">
        <v>2</v>
      </c>
      <c r="H512" s="197">
        <f t="shared" si="133"/>
        <v>400</v>
      </c>
      <c r="I512" s="206">
        <v>20</v>
      </c>
      <c r="J512" s="282">
        <v>9420</v>
      </c>
      <c r="K512" s="288" t="s">
        <v>584</v>
      </c>
      <c r="L512" s="291">
        <v>9000</v>
      </c>
    </row>
    <row r="513" spans="1:12" ht="22.5" customHeight="1">
      <c r="A513" s="214" t="s">
        <v>67</v>
      </c>
      <c r="B513" s="199">
        <v>45630</v>
      </c>
      <c r="C513" s="204" t="s">
        <v>585</v>
      </c>
      <c r="D513" s="205" t="s">
        <v>583</v>
      </c>
      <c r="E513" s="206">
        <v>8500</v>
      </c>
      <c r="F513" s="195">
        <f t="shared" si="132"/>
        <v>4250</v>
      </c>
      <c r="G513" s="203">
        <v>2</v>
      </c>
      <c r="H513" s="197">
        <f t="shared" si="133"/>
        <v>400</v>
      </c>
      <c r="I513" s="206">
        <v>20</v>
      </c>
      <c r="J513" s="282">
        <v>8900</v>
      </c>
      <c r="K513" s="295" t="s">
        <v>586</v>
      </c>
      <c r="L513" s="284">
        <v>8500</v>
      </c>
    </row>
    <row r="514" spans="1:12" ht="22.5" customHeight="1">
      <c r="A514" s="214" t="s">
        <v>71</v>
      </c>
      <c r="B514" s="199">
        <v>45664</v>
      </c>
      <c r="C514" s="204" t="s">
        <v>900</v>
      </c>
      <c r="D514" s="205" t="s">
        <v>587</v>
      </c>
      <c r="E514" s="206">
        <v>8500</v>
      </c>
      <c r="F514" s="195">
        <f t="shared" si="132"/>
        <v>4250</v>
      </c>
      <c r="G514" s="203">
        <v>2</v>
      </c>
      <c r="H514" s="197">
        <f t="shared" si="133"/>
        <v>400</v>
      </c>
      <c r="I514" s="206">
        <v>20</v>
      </c>
      <c r="J514" s="282">
        <v>8920</v>
      </c>
      <c r="K514" s="288" t="s">
        <v>383</v>
      </c>
      <c r="L514" s="291">
        <v>8500</v>
      </c>
    </row>
    <row r="515" spans="1:12" ht="22.5" customHeight="1">
      <c r="A515" s="214" t="s">
        <v>74</v>
      </c>
      <c r="B515" s="199">
        <v>45657</v>
      </c>
      <c r="C515" s="204" t="s">
        <v>588</v>
      </c>
      <c r="D515" s="205" t="s">
        <v>569</v>
      </c>
      <c r="E515" s="206">
        <v>8000</v>
      </c>
      <c r="F515" s="195">
        <f t="shared" si="132"/>
        <v>4000</v>
      </c>
      <c r="G515" s="203">
        <v>2</v>
      </c>
      <c r="H515" s="197">
        <f t="shared" si="133"/>
        <v>400</v>
      </c>
      <c r="I515" s="206">
        <v>20</v>
      </c>
      <c r="J515" s="282">
        <f>SUM(E515,H515:I515)</f>
        <v>8420</v>
      </c>
      <c r="K515" s="288" t="s">
        <v>76</v>
      </c>
      <c r="L515" s="291">
        <v>8000</v>
      </c>
    </row>
    <row r="516" spans="1:12" ht="22.5" customHeight="1">
      <c r="A516" s="214" t="s">
        <v>77</v>
      </c>
      <c r="B516" s="199">
        <v>45630</v>
      </c>
      <c r="C516" s="207" t="s">
        <v>589</v>
      </c>
      <c r="D516" s="205" t="s">
        <v>590</v>
      </c>
      <c r="E516" s="206">
        <v>8000</v>
      </c>
      <c r="F516" s="195">
        <f t="shared" si="132"/>
        <v>4000</v>
      </c>
      <c r="G516" s="203">
        <v>2</v>
      </c>
      <c r="H516" s="197">
        <f t="shared" si="133"/>
        <v>400</v>
      </c>
      <c r="I516" s="206">
        <v>20</v>
      </c>
      <c r="J516" s="282">
        <f>SUM(E516,H516:I516)</f>
        <v>8420</v>
      </c>
      <c r="K516" s="288" t="s">
        <v>340</v>
      </c>
      <c r="L516" s="291">
        <v>8000</v>
      </c>
    </row>
    <row r="517" spans="1:12" ht="22.5" customHeight="1">
      <c r="A517" s="214" t="s">
        <v>81</v>
      </c>
      <c r="B517" s="199">
        <v>45649</v>
      </c>
      <c r="C517" s="207" t="s">
        <v>591</v>
      </c>
      <c r="D517" s="177" t="s">
        <v>592</v>
      </c>
      <c r="E517" s="209">
        <v>6000</v>
      </c>
      <c r="F517" s="195">
        <f t="shared" si="132"/>
        <v>3000</v>
      </c>
      <c r="G517" s="210">
        <v>1</v>
      </c>
      <c r="H517" s="197">
        <f t="shared" si="133"/>
        <v>200</v>
      </c>
      <c r="I517" s="206">
        <v>20</v>
      </c>
      <c r="J517" s="282">
        <v>6220</v>
      </c>
      <c r="K517" s="295" t="s">
        <v>83</v>
      </c>
      <c r="L517" s="291">
        <v>6000</v>
      </c>
    </row>
    <row r="518" spans="1:12" ht="22.5" customHeight="1">
      <c r="A518" s="215" t="s">
        <v>84</v>
      </c>
      <c r="B518" s="216">
        <v>45671</v>
      </c>
      <c r="C518" s="217" t="s">
        <v>901</v>
      </c>
      <c r="D518" s="218" t="s">
        <v>587</v>
      </c>
      <c r="E518" s="219">
        <v>6500</v>
      </c>
      <c r="F518" s="195">
        <f t="shared" si="132"/>
        <v>3250</v>
      </c>
      <c r="G518" s="220">
        <v>1</v>
      </c>
      <c r="H518" s="197">
        <f t="shared" si="133"/>
        <v>200</v>
      </c>
      <c r="I518" s="219">
        <v>20</v>
      </c>
      <c r="J518" s="303">
        <v>6720</v>
      </c>
      <c r="K518" s="304" t="s">
        <v>390</v>
      </c>
      <c r="L518" s="305">
        <v>6000</v>
      </c>
    </row>
    <row r="519" spans="1:12" ht="22.5" customHeight="1">
      <c r="A519" s="221"/>
      <c r="B519" s="222"/>
      <c r="C519" s="223"/>
      <c r="D519" s="224"/>
      <c r="E519" s="225">
        <f>SUM(E497:E518)</f>
        <v>157750</v>
      </c>
      <c r="F519" s="226">
        <f>SUM(F497:F518)</f>
        <v>78875</v>
      </c>
      <c r="G519" s="225">
        <f t="shared" ref="G519:J519" si="134">SUM(G497:G518)</f>
        <v>32</v>
      </c>
      <c r="H519" s="227">
        <f t="shared" si="134"/>
        <v>6400</v>
      </c>
      <c r="I519" s="225">
        <f t="shared" si="134"/>
        <v>400</v>
      </c>
      <c r="J519" s="227">
        <f t="shared" si="134"/>
        <v>164110</v>
      </c>
      <c r="K519" s="306"/>
      <c r="L519" s="307">
        <f>SUM(L497:L518)</f>
        <v>155000</v>
      </c>
    </row>
    <row r="520" spans="1:12" ht="22.5" customHeight="1">
      <c r="A520" s="228" t="s">
        <v>88</v>
      </c>
      <c r="B520" s="229"/>
      <c r="C520" s="230"/>
      <c r="D520" s="205"/>
      <c r="E520" s="195"/>
      <c r="F520" s="195"/>
      <c r="G520" s="231"/>
      <c r="H520" s="195"/>
      <c r="I520" s="195"/>
      <c r="J520" s="230"/>
      <c r="K520" s="309"/>
      <c r="L520" s="291"/>
    </row>
    <row r="521" spans="1:12" ht="22.5" customHeight="1">
      <c r="A521" s="176" t="s">
        <v>89</v>
      </c>
      <c r="B521" s="199">
        <v>45637</v>
      </c>
      <c r="C521" s="204" t="s">
        <v>90</v>
      </c>
      <c r="D521" s="205" t="s">
        <v>593</v>
      </c>
      <c r="E521" s="206">
        <v>10000</v>
      </c>
      <c r="F521" s="195"/>
      <c r="G521" s="232">
        <v>2</v>
      </c>
      <c r="H521" s="197">
        <f t="shared" ref="H521:H525" si="135">SUM(G521*200)</f>
        <v>400</v>
      </c>
      <c r="I521" s="206">
        <v>20</v>
      </c>
      <c r="J521" s="282">
        <v>10420</v>
      </c>
      <c r="K521" s="288" t="s">
        <v>92</v>
      </c>
      <c r="L521" s="291">
        <v>10000</v>
      </c>
    </row>
    <row r="522" spans="1:12" ht="22.5" customHeight="1">
      <c r="A522" s="176" t="s">
        <v>93</v>
      </c>
      <c r="B522" s="199">
        <v>45635</v>
      </c>
      <c r="C522" s="207" t="s">
        <v>94</v>
      </c>
      <c r="D522" s="177" t="s">
        <v>594</v>
      </c>
      <c r="E522" s="212">
        <v>10000</v>
      </c>
      <c r="F522" s="233"/>
      <c r="G522" s="210">
        <v>2</v>
      </c>
      <c r="H522" s="197">
        <f t="shared" si="135"/>
        <v>400</v>
      </c>
      <c r="I522" s="202">
        <v>20</v>
      </c>
      <c r="J522" s="282">
        <v>10420</v>
      </c>
      <c r="K522" s="310" t="s">
        <v>96</v>
      </c>
      <c r="L522" s="284">
        <v>6000</v>
      </c>
    </row>
    <row r="523" spans="1:12" ht="22.5" customHeight="1">
      <c r="A523" s="176" t="s">
        <v>97</v>
      </c>
      <c r="B523" s="199">
        <v>45644</v>
      </c>
      <c r="C523" s="204" t="s">
        <v>98</v>
      </c>
      <c r="D523" s="205" t="s">
        <v>571</v>
      </c>
      <c r="E523" s="234">
        <v>12000</v>
      </c>
      <c r="F523" s="235"/>
      <c r="G523" s="232">
        <v>2</v>
      </c>
      <c r="H523" s="197">
        <f t="shared" si="135"/>
        <v>400</v>
      </c>
      <c r="I523" s="206">
        <v>20</v>
      </c>
      <c r="J523" s="282">
        <v>12400</v>
      </c>
      <c r="K523" s="288" t="s">
        <v>99</v>
      </c>
      <c r="L523" s="291"/>
    </row>
    <row r="524" spans="1:12" ht="22.5" customHeight="1">
      <c r="A524" s="176" t="s">
        <v>100</v>
      </c>
      <c r="B524" s="199">
        <v>45642</v>
      </c>
      <c r="C524" s="236" t="s">
        <v>474</v>
      </c>
      <c r="D524" s="205" t="s">
        <v>595</v>
      </c>
      <c r="E524" s="206">
        <v>12000</v>
      </c>
      <c r="F524" s="195"/>
      <c r="G524" s="232">
        <v>4</v>
      </c>
      <c r="H524" s="197">
        <f t="shared" si="135"/>
        <v>800</v>
      </c>
      <c r="I524" s="206">
        <v>20</v>
      </c>
      <c r="J524" s="282">
        <v>12820</v>
      </c>
      <c r="K524" s="311" t="s">
        <v>519</v>
      </c>
      <c r="L524" s="291">
        <v>12000</v>
      </c>
    </row>
    <row r="525" spans="1:12" ht="22.5" customHeight="1">
      <c r="A525" s="176" t="s">
        <v>104</v>
      </c>
      <c r="B525" s="331">
        <v>45668</v>
      </c>
      <c r="C525" s="237" t="s">
        <v>105</v>
      </c>
      <c r="D525" s="205" t="s">
        <v>596</v>
      </c>
      <c r="E525" s="206">
        <v>12000</v>
      </c>
      <c r="F525" s="195"/>
      <c r="G525" s="238">
        <v>3</v>
      </c>
      <c r="H525" s="197">
        <f t="shared" si="135"/>
        <v>600</v>
      </c>
      <c r="I525" s="219">
        <v>20</v>
      </c>
      <c r="J525" s="282">
        <v>12620</v>
      </c>
      <c r="K525" s="311" t="s">
        <v>107</v>
      </c>
      <c r="L525" s="291">
        <v>12000</v>
      </c>
    </row>
    <row r="526" spans="1:12" ht="22.5" customHeight="1">
      <c r="A526" s="239"/>
      <c r="B526" s="240"/>
      <c r="C526" s="241" t="s">
        <v>108</v>
      </c>
      <c r="D526" s="242"/>
      <c r="E526" s="243">
        <f>SUM(E521:E524)</f>
        <v>44000</v>
      </c>
      <c r="F526" s="226"/>
      <c r="G526" s="226">
        <f>SUM(G521:G524)</f>
        <v>10</v>
      </c>
      <c r="H526" s="226">
        <f>SUM(H521:H524)</f>
        <v>2000</v>
      </c>
      <c r="I526" s="243">
        <f>SUM(I521:I524)</f>
        <v>80</v>
      </c>
      <c r="J526" s="226">
        <f>SUM(J521:J524)</f>
        <v>46060</v>
      </c>
      <c r="K526" s="306"/>
      <c r="L526" s="312">
        <f>SUM(L521:L525)</f>
        <v>40000</v>
      </c>
    </row>
    <row r="527" spans="1:12" ht="22.5" customHeight="1">
      <c r="A527" s="228" t="s">
        <v>109</v>
      </c>
      <c r="B527" s="244"/>
      <c r="C527" s="245"/>
      <c r="D527" s="205"/>
      <c r="E527" s="195"/>
      <c r="F527" s="195"/>
      <c r="G527" s="231"/>
      <c r="H527" s="195"/>
      <c r="I527" s="195"/>
      <c r="J527" s="195"/>
      <c r="K527" s="309"/>
      <c r="L527" s="313"/>
    </row>
    <row r="528" spans="1:12" ht="22.5" customHeight="1">
      <c r="A528" s="246" t="s">
        <v>110</v>
      </c>
      <c r="B528" s="247"/>
      <c r="C528" s="248" t="s">
        <v>111</v>
      </c>
      <c r="D528" s="242"/>
      <c r="E528" s="243"/>
      <c r="F528" s="226"/>
      <c r="G528" s="249"/>
      <c r="H528" s="226"/>
      <c r="I528" s="243"/>
      <c r="J528" s="226"/>
      <c r="K528" s="306"/>
      <c r="L528" s="312"/>
    </row>
    <row r="529" spans="1:12" ht="22.5" customHeight="1">
      <c r="A529" s="228" t="s">
        <v>112</v>
      </c>
      <c r="B529" s="250"/>
      <c r="C529" s="245"/>
      <c r="D529" s="205"/>
      <c r="E529" s="195"/>
      <c r="F529" s="195"/>
      <c r="G529" s="231"/>
      <c r="H529" s="195"/>
      <c r="I529" s="195"/>
      <c r="J529" s="195"/>
      <c r="K529" s="309"/>
      <c r="L529" s="313"/>
    </row>
    <row r="530" spans="1:12" ht="22.5" customHeight="1">
      <c r="A530" s="176" t="s">
        <v>113</v>
      </c>
      <c r="B530" s="199">
        <v>45631</v>
      </c>
      <c r="C530" s="251" t="s">
        <v>114</v>
      </c>
      <c r="D530" s="177" t="s">
        <v>590</v>
      </c>
      <c r="E530" s="206">
        <v>12600</v>
      </c>
      <c r="F530" s="230"/>
      <c r="G530" s="209">
        <v>2</v>
      </c>
      <c r="H530" s="197">
        <f t="shared" ref="H530:H532" si="136">SUM(G530*200)</f>
        <v>400</v>
      </c>
      <c r="I530" s="314">
        <v>20</v>
      </c>
      <c r="J530" s="282">
        <v>12400</v>
      </c>
      <c r="K530" s="295" t="s">
        <v>115</v>
      </c>
      <c r="L530" s="291">
        <v>12000</v>
      </c>
    </row>
    <row r="531" spans="1:12" ht="22.5" customHeight="1">
      <c r="A531" s="176" t="s">
        <v>116</v>
      </c>
      <c r="B531" s="199">
        <v>45636</v>
      </c>
      <c r="C531" s="252" t="s">
        <v>117</v>
      </c>
      <c r="D531" s="205" t="s">
        <v>597</v>
      </c>
      <c r="E531" s="206">
        <v>7000</v>
      </c>
      <c r="F531" s="195"/>
      <c r="G531" s="209">
        <v>1</v>
      </c>
      <c r="H531" s="197">
        <f t="shared" si="136"/>
        <v>200</v>
      </c>
      <c r="I531" s="314">
        <v>20</v>
      </c>
      <c r="J531" s="282">
        <v>7220</v>
      </c>
      <c r="K531" s="288" t="s">
        <v>119</v>
      </c>
      <c r="L531" s="291">
        <v>7000</v>
      </c>
    </row>
    <row r="532" spans="1:12" ht="22.5" customHeight="1">
      <c r="A532" s="176" t="s">
        <v>120</v>
      </c>
      <c r="B532" s="199">
        <v>45670</v>
      </c>
      <c r="C532" s="253" t="s">
        <v>121</v>
      </c>
      <c r="D532" s="177" t="s">
        <v>569</v>
      </c>
      <c r="E532" s="209">
        <v>10000</v>
      </c>
      <c r="F532" s="254"/>
      <c r="G532" s="209">
        <v>2</v>
      </c>
      <c r="H532" s="197">
        <f t="shared" si="136"/>
        <v>400</v>
      </c>
      <c r="I532" s="315">
        <v>20</v>
      </c>
      <c r="J532" s="254">
        <v>10420</v>
      </c>
      <c r="K532" s="316" t="s">
        <v>122</v>
      </c>
      <c r="L532" s="291">
        <v>10000</v>
      </c>
    </row>
    <row r="533" spans="1:12" ht="22.5" customHeight="1">
      <c r="A533" s="246"/>
      <c r="B533" s="247"/>
      <c r="C533" s="255"/>
      <c r="D533" s="242"/>
      <c r="E533" s="256">
        <f>SUM(E530:E532)</f>
        <v>29600</v>
      </c>
      <c r="F533" s="257"/>
      <c r="G533" s="256">
        <f>SUM(G530:G532)</f>
        <v>5</v>
      </c>
      <c r="H533" s="257">
        <f>SUM(H530:H532)</f>
        <v>1000</v>
      </c>
      <c r="I533" s="257">
        <f>SUM(I530:I532)</f>
        <v>60</v>
      </c>
      <c r="J533" s="257">
        <f>SUM(J530:J532)</f>
        <v>30040</v>
      </c>
      <c r="K533" s="317"/>
      <c r="L533" s="312">
        <f>SUM(L530:L532)</f>
        <v>29000</v>
      </c>
    </row>
    <row r="534" spans="1:12" ht="22.5" customHeight="1">
      <c r="B534" s="244"/>
      <c r="C534" s="80"/>
      <c r="D534" s="258"/>
      <c r="E534" s="259">
        <f>SUM(E519,E526,E528,E533)</f>
        <v>231350</v>
      </c>
      <c r="F534" s="260"/>
      <c r="G534" s="259">
        <f>SUM(G519,G526,G528,G533)</f>
        <v>47</v>
      </c>
      <c r="H534" s="259">
        <f>SUM(H519,H526,H528,H533)</f>
        <v>9400</v>
      </c>
      <c r="I534" s="318">
        <f>SUM(I519,I526,I528,I533)</f>
        <v>540</v>
      </c>
      <c r="J534" s="259">
        <f>SUM(J519,J526,J528,J533)</f>
        <v>240210</v>
      </c>
      <c r="K534" s="319"/>
      <c r="L534" s="291"/>
    </row>
    <row r="535" spans="1:12" ht="22.5" customHeight="1">
      <c r="A535" s="228" t="s">
        <v>123</v>
      </c>
      <c r="B535" s="261"/>
      <c r="C535" s="262"/>
      <c r="D535" s="15"/>
      <c r="E535" s="195"/>
      <c r="F535" s="263" t="s">
        <v>124</v>
      </c>
      <c r="G535" s="264"/>
      <c r="H535" s="195"/>
      <c r="I535" s="195"/>
      <c r="J535" s="230"/>
      <c r="K535" s="309"/>
      <c r="L535" s="284"/>
    </row>
    <row r="536" spans="1:12" ht="22.5" customHeight="1">
      <c r="A536" s="176" t="s">
        <v>125</v>
      </c>
      <c r="B536" s="199">
        <v>45631</v>
      </c>
      <c r="C536" s="265" t="s">
        <v>126</v>
      </c>
      <c r="D536" s="205" t="s">
        <v>598</v>
      </c>
      <c r="E536" s="202">
        <v>5000</v>
      </c>
      <c r="F536" s="266">
        <v>325</v>
      </c>
      <c r="G536" s="203">
        <v>2</v>
      </c>
      <c r="H536" s="266">
        <f t="shared" ref="H536:H537" si="137">SUM(G536*200)</f>
        <v>400</v>
      </c>
      <c r="I536" s="202">
        <v>20</v>
      </c>
      <c r="J536" s="282">
        <f>SUM(E536,F536,H536,I536)</f>
        <v>5745</v>
      </c>
      <c r="K536" s="319" t="s">
        <v>128</v>
      </c>
      <c r="L536" s="284">
        <v>5000</v>
      </c>
    </row>
    <row r="537" spans="1:12" ht="22.5" customHeight="1">
      <c r="A537" s="176" t="s">
        <v>129</v>
      </c>
      <c r="B537" s="199">
        <v>45663</v>
      </c>
      <c r="C537" s="265" t="s">
        <v>130</v>
      </c>
      <c r="D537" s="205" t="s">
        <v>599</v>
      </c>
      <c r="E537" s="206">
        <v>5500</v>
      </c>
      <c r="F537" s="195"/>
      <c r="G537" s="203">
        <v>1</v>
      </c>
      <c r="H537" s="266">
        <f t="shared" si="137"/>
        <v>200</v>
      </c>
      <c r="I537" s="206">
        <v>20</v>
      </c>
      <c r="J537" s="282">
        <f>SUM(E537,H537:I537)</f>
        <v>5720</v>
      </c>
      <c r="K537" s="319" t="s">
        <v>132</v>
      </c>
      <c r="L537" s="291">
        <v>5500</v>
      </c>
    </row>
    <row r="538" spans="1:12" ht="22.5" customHeight="1">
      <c r="A538" s="267" t="s">
        <v>133</v>
      </c>
      <c r="B538" s="268"/>
      <c r="C538" s="269"/>
      <c r="D538" s="242"/>
      <c r="E538" s="270">
        <f>SUM(E536:E537)</f>
        <v>10500</v>
      </c>
      <c r="F538" s="226">
        <f t="shared" ref="F538:I538" si="138">SUM(F536:F537)</f>
        <v>325</v>
      </c>
      <c r="G538" s="243">
        <f t="shared" si="138"/>
        <v>3</v>
      </c>
      <c r="H538" s="226">
        <f t="shared" si="138"/>
        <v>600</v>
      </c>
      <c r="I538" s="320">
        <f t="shared" si="138"/>
        <v>40</v>
      </c>
      <c r="J538" s="321">
        <f>SUM(F538,H538,I538,)</f>
        <v>965</v>
      </c>
      <c r="K538" s="322"/>
      <c r="L538" s="323"/>
    </row>
    <row r="539" spans="1:12" ht="22.5" customHeight="1">
      <c r="E539" s="271" t="s">
        <v>134</v>
      </c>
      <c r="F539" s="272">
        <f>SUM(F534,F538)</f>
        <v>325</v>
      </c>
      <c r="H539" s="272">
        <f>SUM(H534,H538)</f>
        <v>10000</v>
      </c>
      <c r="I539" s="324">
        <f>SUM(I534,I538)</f>
        <v>580</v>
      </c>
      <c r="J539" s="325" t="s">
        <v>135</v>
      </c>
      <c r="L539" s="326"/>
    </row>
    <row r="540" spans="1:12" ht="22.5" customHeight="1">
      <c r="D540" s="326">
        <f>SUM(E40,E84,E129,E174,E219,E264,E309,E354,E399,E444,E489,E534)</f>
        <v>2826850</v>
      </c>
      <c r="E540" s="326">
        <f>SUM(E25,E69,E114,E165,E204,E249,E294,E339,E384,E429,E474,E519)</f>
        <v>1670250</v>
      </c>
    </row>
    <row r="541" spans="1:12" ht="22.5" customHeight="1"/>
    <row r="542" spans="1:12" ht="22.5" customHeight="1"/>
    <row r="543" spans="1:12" ht="22.5" customHeight="1"/>
    <row r="544" spans="1:12" ht="22.5" customHeight="1"/>
    <row r="545" spans="1:12" ht="22.5" customHeight="1"/>
    <row r="546" spans="1:12" ht="22.5" customHeight="1" thickBot="1">
      <c r="A546" s="185" t="s">
        <v>8</v>
      </c>
      <c r="B546" s="186" t="s">
        <v>894</v>
      </c>
      <c r="C546" s="187"/>
      <c r="D546" s="187"/>
      <c r="E546" s="187"/>
      <c r="F546" s="273"/>
      <c r="G546" s="189"/>
      <c r="H546" s="273"/>
      <c r="I546" s="187"/>
      <c r="J546" s="187"/>
      <c r="K546" s="187"/>
      <c r="L546" s="187"/>
    </row>
    <row r="547" spans="1:12" ht="22.5" customHeight="1">
      <c r="A547" s="190" t="s">
        <v>10</v>
      </c>
      <c r="B547" s="191">
        <v>45689</v>
      </c>
      <c r="C547" s="192" t="s">
        <v>928</v>
      </c>
      <c r="D547" s="193" t="s">
        <v>902</v>
      </c>
      <c r="E547" s="194">
        <v>8000</v>
      </c>
      <c r="F547" s="195">
        <f>SUM(E547*0.5)</f>
        <v>4000</v>
      </c>
      <c r="G547" s="196">
        <v>1</v>
      </c>
      <c r="H547" s="197">
        <f t="shared" ref="H547:H549" si="139">SUM(G547*200)</f>
        <v>200</v>
      </c>
      <c r="I547" s="194">
        <v>20</v>
      </c>
      <c r="J547" s="279">
        <v>8220</v>
      </c>
      <c r="K547" s="280" t="s">
        <v>13</v>
      </c>
      <c r="L547" s="281">
        <v>8000</v>
      </c>
    </row>
    <row r="548" spans="1:12" ht="22.5" customHeight="1">
      <c r="A548" s="198" t="s">
        <v>14</v>
      </c>
      <c r="B548" s="199">
        <v>45685</v>
      </c>
      <c r="C548" s="200" t="s">
        <v>920</v>
      </c>
      <c r="D548" s="201" t="s">
        <v>903</v>
      </c>
      <c r="E548" s="202">
        <v>8500</v>
      </c>
      <c r="F548" s="195">
        <f>SUM(E548*0.5)</f>
        <v>4250</v>
      </c>
      <c r="G548" s="203">
        <v>3</v>
      </c>
      <c r="H548" s="197">
        <f t="shared" si="139"/>
        <v>600</v>
      </c>
      <c r="I548" s="206">
        <v>20</v>
      </c>
      <c r="J548" s="282">
        <v>8620</v>
      </c>
      <c r="K548" s="283" t="s">
        <v>314</v>
      </c>
      <c r="L548" s="284">
        <v>8500</v>
      </c>
    </row>
    <row r="549" spans="1:12" ht="22.5" customHeight="1">
      <c r="A549" s="190" t="s">
        <v>18</v>
      </c>
      <c r="B549" s="199">
        <v>45684</v>
      </c>
      <c r="C549" s="204" t="s">
        <v>918</v>
      </c>
      <c r="D549" s="205" t="s">
        <v>904</v>
      </c>
      <c r="E549" s="202">
        <v>8000</v>
      </c>
      <c r="F549" s="195">
        <f t="shared" ref="F549:F550" si="140">SUM(E549*0.5)</f>
        <v>4000</v>
      </c>
      <c r="G549" s="203">
        <v>1</v>
      </c>
      <c r="H549" s="197">
        <f t="shared" si="139"/>
        <v>200</v>
      </c>
      <c r="I549" s="206">
        <v>20</v>
      </c>
      <c r="J549" s="282">
        <f>SUM(E549,H549:I549)</f>
        <v>8220</v>
      </c>
      <c r="K549" s="288" t="s">
        <v>21</v>
      </c>
      <c r="L549" s="284">
        <v>8000</v>
      </c>
    </row>
    <row r="550" spans="1:12" ht="22.5" customHeight="1">
      <c r="A550" s="190" t="s">
        <v>22</v>
      </c>
      <c r="B550" s="199">
        <v>45668</v>
      </c>
      <c r="C550" s="26" t="s">
        <v>916</v>
      </c>
      <c r="D550" s="205" t="s">
        <v>905</v>
      </c>
      <c r="E550" s="206">
        <v>7250</v>
      </c>
      <c r="F550" s="195">
        <f t="shared" si="140"/>
        <v>3625</v>
      </c>
      <c r="G550" s="203">
        <v>1</v>
      </c>
      <c r="H550" s="197">
        <f t="shared" ref="H550" si="141">SUM(G550*200)</f>
        <v>200</v>
      </c>
      <c r="I550" s="206">
        <v>20</v>
      </c>
      <c r="J550" s="282">
        <f>SUM(E550,H550:I550)</f>
        <v>7470</v>
      </c>
      <c r="K550" s="290" t="s">
        <v>25</v>
      </c>
      <c r="L550" s="291">
        <v>5000</v>
      </c>
    </row>
    <row r="551" spans="1:12" ht="22.5" customHeight="1">
      <c r="A551" s="190" t="s">
        <v>26</v>
      </c>
      <c r="B551" s="199"/>
      <c r="C551" s="207" t="s">
        <v>162</v>
      </c>
      <c r="D551" s="208"/>
      <c r="E551" s="209"/>
      <c r="F551" s="195"/>
      <c r="G551" s="210"/>
      <c r="H551" s="197"/>
      <c r="I551" s="209"/>
      <c r="J551" s="254"/>
      <c r="K551" s="24"/>
      <c r="L551" s="291"/>
    </row>
    <row r="552" spans="1:12" ht="22.5" customHeight="1">
      <c r="A552" s="190" t="s">
        <v>30</v>
      </c>
      <c r="B552" s="199">
        <v>45740</v>
      </c>
      <c r="C552" s="204" t="s">
        <v>1071</v>
      </c>
      <c r="D552" s="205" t="s">
        <v>908</v>
      </c>
      <c r="E552" s="209">
        <v>6500</v>
      </c>
      <c r="F552" s="195">
        <v>3250</v>
      </c>
      <c r="G552" s="210">
        <v>0</v>
      </c>
      <c r="H552" s="197"/>
      <c r="I552" s="209"/>
      <c r="J552" s="254">
        <v>6500</v>
      </c>
      <c r="K552" s="294" t="s">
        <v>1070</v>
      </c>
      <c r="L552" s="287">
        <v>6500</v>
      </c>
    </row>
    <row r="553" spans="1:12" ht="22.5" customHeight="1">
      <c r="A553" s="190" t="s">
        <v>33</v>
      </c>
      <c r="B553" s="199">
        <v>45688</v>
      </c>
      <c r="C553" s="204" t="s">
        <v>926</v>
      </c>
      <c r="D553" s="205" t="s">
        <v>906</v>
      </c>
      <c r="E553" s="202">
        <v>6000</v>
      </c>
      <c r="F553" s="195">
        <f t="shared" ref="F553:F568" si="142">SUM(E553*0.5)</f>
        <v>3000</v>
      </c>
      <c r="G553" s="210">
        <v>1</v>
      </c>
      <c r="H553" s="197">
        <f t="shared" ref="H553:H568" si="143">SUM(G553*200)</f>
        <v>200</v>
      </c>
      <c r="I553" s="202">
        <v>20</v>
      </c>
      <c r="J553" s="197">
        <v>6220</v>
      </c>
      <c r="K553" s="288" t="s">
        <v>17</v>
      </c>
      <c r="L553" s="284">
        <v>6000</v>
      </c>
    </row>
    <row r="554" spans="1:12" ht="22.5" customHeight="1">
      <c r="A554" s="190" t="s">
        <v>35</v>
      </c>
      <c r="B554" s="199">
        <v>45688</v>
      </c>
      <c r="C554" s="211" t="s">
        <v>927</v>
      </c>
      <c r="D554" s="177" t="s">
        <v>907</v>
      </c>
      <c r="E554" s="212">
        <v>6000</v>
      </c>
      <c r="F554" s="195">
        <f t="shared" si="142"/>
        <v>3000</v>
      </c>
      <c r="G554" s="210">
        <v>1</v>
      </c>
      <c r="H554" s="197">
        <f t="shared" si="143"/>
        <v>200</v>
      </c>
      <c r="I554" s="206">
        <v>20</v>
      </c>
      <c r="J554" s="282">
        <v>6220</v>
      </c>
      <c r="K554" s="295" t="s">
        <v>38</v>
      </c>
      <c r="L554" s="284">
        <v>6000</v>
      </c>
    </row>
    <row r="555" spans="1:12" ht="22.5" customHeight="1">
      <c r="A555" s="213" t="s">
        <v>39</v>
      </c>
      <c r="B555" s="199">
        <v>45689</v>
      </c>
      <c r="C555" s="14" t="s">
        <v>930</v>
      </c>
      <c r="D555" s="205" t="s">
        <v>908</v>
      </c>
      <c r="E555" s="202">
        <v>8000</v>
      </c>
      <c r="F555" s="195">
        <f t="shared" si="142"/>
        <v>4000</v>
      </c>
      <c r="G555" s="203">
        <v>1</v>
      </c>
      <c r="H555" s="197">
        <f t="shared" si="143"/>
        <v>200</v>
      </c>
      <c r="I555" s="202">
        <v>20</v>
      </c>
      <c r="J555" s="282">
        <f>SUM(E555,H555:I555)</f>
        <v>8220</v>
      </c>
      <c r="K555" s="288" t="s">
        <v>42</v>
      </c>
      <c r="L555" s="284">
        <v>8000</v>
      </c>
    </row>
    <row r="556" spans="1:12" ht="22.5" customHeight="1">
      <c r="A556" s="213" t="s">
        <v>43</v>
      </c>
      <c r="B556" s="199">
        <v>45689</v>
      </c>
      <c r="C556" s="204" t="s">
        <v>929</v>
      </c>
      <c r="D556" s="14" t="s">
        <v>909</v>
      </c>
      <c r="E556" s="202">
        <v>8000</v>
      </c>
      <c r="F556" s="195">
        <f t="shared" si="142"/>
        <v>4000</v>
      </c>
      <c r="G556" s="203">
        <v>2</v>
      </c>
      <c r="H556" s="197">
        <f t="shared" si="143"/>
        <v>400</v>
      </c>
      <c r="I556" s="206">
        <v>20</v>
      </c>
      <c r="J556" s="282">
        <f>SUM(E556,H556:I556)</f>
        <v>8420</v>
      </c>
      <c r="K556" s="288" t="s">
        <v>46</v>
      </c>
      <c r="L556" s="284">
        <v>8000</v>
      </c>
    </row>
    <row r="557" spans="1:12" ht="22.5" customHeight="1">
      <c r="A557" s="213" t="s">
        <v>47</v>
      </c>
      <c r="B557" s="199">
        <v>45680</v>
      </c>
      <c r="C557" s="204" t="s">
        <v>923</v>
      </c>
      <c r="D557" s="205" t="s">
        <v>910</v>
      </c>
      <c r="E557" s="202">
        <v>8000</v>
      </c>
      <c r="F557" s="195">
        <f t="shared" si="142"/>
        <v>4000</v>
      </c>
      <c r="G557" s="203">
        <v>2</v>
      </c>
      <c r="H557" s="197">
        <f t="shared" si="143"/>
        <v>400</v>
      </c>
      <c r="I557" s="202">
        <v>20</v>
      </c>
      <c r="J557" s="282">
        <v>8600</v>
      </c>
      <c r="K557" s="288" t="s">
        <v>50</v>
      </c>
      <c r="L557" s="291">
        <v>8000</v>
      </c>
    </row>
    <row r="558" spans="1:12" ht="22.5" customHeight="1">
      <c r="A558" s="213" t="s">
        <v>51</v>
      </c>
      <c r="B558" s="199">
        <v>45688</v>
      </c>
      <c r="C558" s="204" t="s">
        <v>922</v>
      </c>
      <c r="D558" s="205" t="s">
        <v>906</v>
      </c>
      <c r="E558" s="212">
        <v>8500</v>
      </c>
      <c r="F558" s="195">
        <f t="shared" si="142"/>
        <v>4250</v>
      </c>
      <c r="G558" s="210">
        <v>2</v>
      </c>
      <c r="H558" s="197">
        <f t="shared" si="143"/>
        <v>400</v>
      </c>
      <c r="I558" s="212">
        <v>20</v>
      </c>
      <c r="J558" s="282">
        <v>8920</v>
      </c>
      <c r="K558" s="295" t="s">
        <v>577</v>
      </c>
      <c r="L558" s="284">
        <v>8500</v>
      </c>
    </row>
    <row r="559" spans="1:12" ht="22.5" customHeight="1">
      <c r="A559" s="213" t="s">
        <v>55</v>
      </c>
      <c r="B559" s="199">
        <v>45687</v>
      </c>
      <c r="C559" s="204" t="s">
        <v>921</v>
      </c>
      <c r="D559" s="205" t="s">
        <v>910</v>
      </c>
      <c r="E559" s="202">
        <v>7500</v>
      </c>
      <c r="F559" s="195">
        <f t="shared" si="142"/>
        <v>3750</v>
      </c>
      <c r="G559" s="203">
        <v>2</v>
      </c>
      <c r="H559" s="197">
        <f t="shared" si="143"/>
        <v>400</v>
      </c>
      <c r="I559" s="206">
        <v>20</v>
      </c>
      <c r="J559" s="282">
        <v>7920</v>
      </c>
      <c r="K559" s="288" t="s">
        <v>57</v>
      </c>
      <c r="L559" s="284">
        <v>7500</v>
      </c>
    </row>
    <row r="560" spans="1:12" ht="22.5" customHeight="1">
      <c r="A560" s="213" t="s">
        <v>58</v>
      </c>
      <c r="B560" s="199">
        <v>45688</v>
      </c>
      <c r="C560" s="204" t="s">
        <v>924</v>
      </c>
      <c r="D560" s="205" t="s">
        <v>24</v>
      </c>
      <c r="E560" s="202">
        <v>6500</v>
      </c>
      <c r="F560" s="195">
        <f t="shared" si="142"/>
        <v>3250</v>
      </c>
      <c r="G560" s="203">
        <v>1</v>
      </c>
      <c r="H560" s="197">
        <f t="shared" si="143"/>
        <v>200</v>
      </c>
      <c r="I560" s="206">
        <v>20</v>
      </c>
      <c r="J560" s="254">
        <v>6620</v>
      </c>
      <c r="K560" s="296" t="s">
        <v>378</v>
      </c>
      <c r="L560" s="284">
        <v>6500</v>
      </c>
    </row>
    <row r="561" spans="1:12" ht="22.5" customHeight="1">
      <c r="A561" s="213" t="s">
        <v>60</v>
      </c>
      <c r="B561" s="199">
        <v>45685</v>
      </c>
      <c r="C561" s="204" t="s">
        <v>919</v>
      </c>
      <c r="D561" s="205" t="s">
        <v>905</v>
      </c>
      <c r="E561" s="202">
        <v>6500</v>
      </c>
      <c r="F561" s="195">
        <f t="shared" si="142"/>
        <v>3250</v>
      </c>
      <c r="G561" s="203">
        <v>2</v>
      </c>
      <c r="H561" s="197">
        <f t="shared" si="143"/>
        <v>400</v>
      </c>
      <c r="I561" s="206">
        <v>20</v>
      </c>
      <c r="J561" s="282">
        <v>6920</v>
      </c>
      <c r="K561" s="288" t="s">
        <v>506</v>
      </c>
      <c r="L561" s="284">
        <v>6500</v>
      </c>
    </row>
    <row r="562" spans="1:12" ht="22.5" customHeight="1">
      <c r="A562" s="214" t="s">
        <v>63</v>
      </c>
      <c r="B562" s="199">
        <v>45678</v>
      </c>
      <c r="C562" s="204" t="s">
        <v>917</v>
      </c>
      <c r="D562" s="205" t="s">
        <v>911</v>
      </c>
      <c r="E562" s="206">
        <v>9000</v>
      </c>
      <c r="F562" s="195">
        <f t="shared" si="142"/>
        <v>4500</v>
      </c>
      <c r="G562" s="203">
        <v>2</v>
      </c>
      <c r="H562" s="197">
        <f t="shared" si="143"/>
        <v>400</v>
      </c>
      <c r="I562" s="206">
        <v>20</v>
      </c>
      <c r="J562" s="282">
        <v>9420</v>
      </c>
      <c r="K562" s="288" t="s">
        <v>584</v>
      </c>
      <c r="L562" s="291">
        <v>9000</v>
      </c>
    </row>
    <row r="563" spans="1:12" ht="22.5" customHeight="1">
      <c r="A563" s="214" t="s">
        <v>67</v>
      </c>
      <c r="B563" s="199"/>
      <c r="C563" s="204" t="s">
        <v>162</v>
      </c>
      <c r="D563" s="205"/>
      <c r="E563" s="206"/>
      <c r="F563" s="195"/>
      <c r="G563" s="203"/>
      <c r="H563" s="197"/>
      <c r="I563" s="206"/>
      <c r="J563" s="282"/>
      <c r="K563" s="295"/>
      <c r="L563" s="284"/>
    </row>
    <row r="564" spans="1:12" ht="22.5" customHeight="1">
      <c r="A564" s="214" t="s">
        <v>71</v>
      </c>
      <c r="B564" s="199">
        <v>45688</v>
      </c>
      <c r="C564" s="204" t="s">
        <v>925</v>
      </c>
      <c r="D564" s="205" t="s">
        <v>912</v>
      </c>
      <c r="E564" s="206">
        <v>8500</v>
      </c>
      <c r="F564" s="195">
        <f t="shared" si="142"/>
        <v>4250</v>
      </c>
      <c r="G564" s="203">
        <v>2</v>
      </c>
      <c r="H564" s="197">
        <f t="shared" si="143"/>
        <v>400</v>
      </c>
      <c r="I564" s="206">
        <v>20</v>
      </c>
      <c r="J564" s="282">
        <v>8920</v>
      </c>
      <c r="K564" s="288" t="s">
        <v>383</v>
      </c>
      <c r="L564" s="291">
        <v>8500</v>
      </c>
    </row>
    <row r="565" spans="1:12" ht="22.5" customHeight="1">
      <c r="A565" s="214" t="s">
        <v>74</v>
      </c>
      <c r="B565" s="199">
        <v>45693</v>
      </c>
      <c r="C565" s="204" t="s">
        <v>986</v>
      </c>
      <c r="D565" s="205" t="s">
        <v>906</v>
      </c>
      <c r="E565" s="206">
        <v>8000</v>
      </c>
      <c r="F565" s="195">
        <f t="shared" si="142"/>
        <v>4000</v>
      </c>
      <c r="G565" s="203">
        <v>2</v>
      </c>
      <c r="H565" s="197">
        <f t="shared" si="143"/>
        <v>400</v>
      </c>
      <c r="I565" s="206">
        <v>20</v>
      </c>
      <c r="J565" s="282">
        <f>SUM(E565,H565:I565)</f>
        <v>8420</v>
      </c>
      <c r="K565" s="288" t="s">
        <v>76</v>
      </c>
      <c r="L565" s="291">
        <v>8000</v>
      </c>
    </row>
    <row r="566" spans="1:12" ht="22.5" customHeight="1">
      <c r="A566" s="214" t="s">
        <v>77</v>
      </c>
      <c r="B566" s="199">
        <v>45663</v>
      </c>
      <c r="C566" s="207" t="s">
        <v>915</v>
      </c>
      <c r="D566" s="205" t="s">
        <v>908</v>
      </c>
      <c r="E566" s="206">
        <v>8000</v>
      </c>
      <c r="F566" s="195">
        <f t="shared" si="142"/>
        <v>4000</v>
      </c>
      <c r="G566" s="203">
        <v>2</v>
      </c>
      <c r="H566" s="197">
        <f t="shared" si="143"/>
        <v>400</v>
      </c>
      <c r="I566" s="206">
        <v>20</v>
      </c>
      <c r="J566" s="282">
        <f>SUM(E566,H566:I566)</f>
        <v>8420</v>
      </c>
      <c r="K566" s="288" t="s">
        <v>340</v>
      </c>
      <c r="L566" s="291">
        <v>8000</v>
      </c>
    </row>
    <row r="567" spans="1:12" ht="22.5" customHeight="1">
      <c r="A567" s="214" t="s">
        <v>81</v>
      </c>
      <c r="B567" s="199">
        <v>45691</v>
      </c>
      <c r="C567" s="207" t="s">
        <v>984</v>
      </c>
      <c r="D567" s="177" t="s">
        <v>913</v>
      </c>
      <c r="E567" s="209">
        <v>6000</v>
      </c>
      <c r="F567" s="195">
        <f t="shared" si="142"/>
        <v>3000</v>
      </c>
      <c r="G567" s="210">
        <v>1</v>
      </c>
      <c r="H567" s="197">
        <f t="shared" si="143"/>
        <v>200</v>
      </c>
      <c r="I567" s="206">
        <v>20</v>
      </c>
      <c r="J567" s="282">
        <v>6220</v>
      </c>
      <c r="K567" s="295" t="s">
        <v>83</v>
      </c>
      <c r="L567" s="291">
        <v>6000</v>
      </c>
    </row>
    <row r="568" spans="1:12" ht="22.5" customHeight="1">
      <c r="A568" s="215" t="s">
        <v>84</v>
      </c>
      <c r="B568" s="216">
        <v>45693</v>
      </c>
      <c r="C568" s="217" t="s">
        <v>985</v>
      </c>
      <c r="D568" s="218" t="s">
        <v>914</v>
      </c>
      <c r="E568" s="219">
        <v>6500</v>
      </c>
      <c r="F568" s="195">
        <f t="shared" si="142"/>
        <v>3250</v>
      </c>
      <c r="G568" s="220">
        <v>1</v>
      </c>
      <c r="H568" s="197">
        <f t="shared" si="143"/>
        <v>200</v>
      </c>
      <c r="I568" s="219">
        <v>20</v>
      </c>
      <c r="J568" s="303">
        <v>6720</v>
      </c>
      <c r="K568" s="304" t="s">
        <v>390</v>
      </c>
      <c r="L568" s="305">
        <v>6000</v>
      </c>
    </row>
    <row r="569" spans="1:12" ht="22.5" customHeight="1" thickBot="1">
      <c r="A569" s="221"/>
      <c r="B569" s="222"/>
      <c r="C569" s="223"/>
      <c r="D569" s="224"/>
      <c r="E569" s="225">
        <f>SUM(E547:E568)</f>
        <v>149250</v>
      </c>
      <c r="F569" s="226">
        <f>SUM(F547:F568)</f>
        <v>74625</v>
      </c>
      <c r="G569" s="225">
        <f t="shared" ref="G569:J569" si="144">SUM(G547:G568)</f>
        <v>30</v>
      </c>
      <c r="H569" s="227">
        <f t="shared" si="144"/>
        <v>6000</v>
      </c>
      <c r="I569" s="225">
        <f t="shared" si="144"/>
        <v>380</v>
      </c>
      <c r="J569" s="227">
        <f t="shared" si="144"/>
        <v>155210</v>
      </c>
      <c r="K569" s="306"/>
      <c r="L569" s="307">
        <f>SUM(L547:L568)</f>
        <v>146500</v>
      </c>
    </row>
    <row r="570" spans="1:12" ht="22.5" customHeight="1">
      <c r="A570" s="228" t="s">
        <v>88</v>
      </c>
      <c r="B570" s="229"/>
      <c r="C570" s="230"/>
      <c r="D570" s="205"/>
      <c r="E570" s="195"/>
      <c r="F570" s="195"/>
      <c r="G570" s="231"/>
      <c r="H570" s="195"/>
      <c r="I570" s="195"/>
      <c r="J570" s="230"/>
      <c r="K570" s="309"/>
      <c r="L570" s="291"/>
    </row>
    <row r="571" spans="1:12" ht="22.5" customHeight="1">
      <c r="A571" s="176" t="s">
        <v>89</v>
      </c>
      <c r="B571" s="199">
        <v>45671</v>
      </c>
      <c r="C571" s="204" t="s">
        <v>90</v>
      </c>
      <c r="D571" s="205" t="s">
        <v>931</v>
      </c>
      <c r="E571" s="206">
        <v>10000</v>
      </c>
      <c r="F571" s="195"/>
      <c r="G571" s="232">
        <v>2</v>
      </c>
      <c r="H571" s="197">
        <f t="shared" ref="H571:H575" si="145">SUM(G571*200)</f>
        <v>400</v>
      </c>
      <c r="I571" s="206">
        <v>20</v>
      </c>
      <c r="J571" s="282">
        <v>10420</v>
      </c>
      <c r="K571" s="288" t="s">
        <v>92</v>
      </c>
      <c r="L571" s="291">
        <v>10000</v>
      </c>
    </row>
    <row r="572" spans="1:12" ht="22.5" customHeight="1">
      <c r="A572" s="176" t="s">
        <v>93</v>
      </c>
      <c r="B572" s="199">
        <v>45667</v>
      </c>
      <c r="C572" s="207" t="s">
        <v>94</v>
      </c>
      <c r="D572" s="177" t="s">
        <v>932</v>
      </c>
      <c r="E572" s="212">
        <v>10000</v>
      </c>
      <c r="F572" s="233"/>
      <c r="G572" s="210">
        <v>2</v>
      </c>
      <c r="H572" s="197">
        <f t="shared" si="145"/>
        <v>400</v>
      </c>
      <c r="I572" s="202">
        <v>20</v>
      </c>
      <c r="J572" s="282">
        <v>10420</v>
      </c>
      <c r="K572" s="310" t="s">
        <v>96</v>
      </c>
      <c r="L572" s="284">
        <v>6000</v>
      </c>
    </row>
    <row r="573" spans="1:12" ht="22.5" customHeight="1">
      <c r="A573" s="176" t="s">
        <v>97</v>
      </c>
      <c r="B573" s="199">
        <v>45677</v>
      </c>
      <c r="C573" s="204" t="s">
        <v>98</v>
      </c>
      <c r="D573" s="205" t="s">
        <v>907</v>
      </c>
      <c r="E573" s="234">
        <v>12000</v>
      </c>
      <c r="F573" s="235"/>
      <c r="G573" s="232">
        <v>2</v>
      </c>
      <c r="H573" s="197">
        <f t="shared" si="145"/>
        <v>400</v>
      </c>
      <c r="I573" s="206">
        <v>20</v>
      </c>
      <c r="J573" s="282">
        <v>12400</v>
      </c>
      <c r="K573" s="288" t="s">
        <v>99</v>
      </c>
      <c r="L573" s="291"/>
    </row>
    <row r="574" spans="1:12" ht="22.5" customHeight="1">
      <c r="A574" s="176" t="s">
        <v>100</v>
      </c>
      <c r="B574" s="199">
        <v>45664</v>
      </c>
      <c r="C574" s="236" t="s">
        <v>474</v>
      </c>
      <c r="D574" s="205" t="s">
        <v>933</v>
      </c>
      <c r="E574" s="206">
        <v>12000</v>
      </c>
      <c r="F574" s="195"/>
      <c r="G574" s="232">
        <v>4</v>
      </c>
      <c r="H574" s="197">
        <f t="shared" si="145"/>
        <v>800</v>
      </c>
      <c r="I574" s="206">
        <v>20</v>
      </c>
      <c r="J574" s="282">
        <v>12820</v>
      </c>
      <c r="K574" s="311" t="s">
        <v>519</v>
      </c>
      <c r="L574" s="291">
        <v>12000</v>
      </c>
    </row>
    <row r="575" spans="1:12" ht="22.5" customHeight="1">
      <c r="A575" s="176" t="s">
        <v>104</v>
      </c>
      <c r="B575" s="331">
        <v>45691</v>
      </c>
      <c r="C575" s="237" t="s">
        <v>105</v>
      </c>
      <c r="D575" s="205" t="s">
        <v>934</v>
      </c>
      <c r="E575" s="206">
        <v>12000</v>
      </c>
      <c r="F575" s="195"/>
      <c r="G575" s="238">
        <v>3</v>
      </c>
      <c r="H575" s="197">
        <f t="shared" si="145"/>
        <v>600</v>
      </c>
      <c r="I575" s="219">
        <v>20</v>
      </c>
      <c r="J575" s="282">
        <v>12620</v>
      </c>
      <c r="K575" s="311" t="s">
        <v>107</v>
      </c>
      <c r="L575" s="291">
        <v>12000</v>
      </c>
    </row>
    <row r="576" spans="1:12" ht="22.5" customHeight="1" thickBot="1">
      <c r="A576" s="239"/>
      <c r="B576" s="240"/>
      <c r="C576" s="241" t="s">
        <v>108</v>
      </c>
      <c r="D576" s="242"/>
      <c r="E576" s="243">
        <f>SUM(E571:E574)</f>
        <v>44000</v>
      </c>
      <c r="F576" s="226"/>
      <c r="G576" s="226">
        <f>SUM(G571:G574)</f>
        <v>10</v>
      </c>
      <c r="H576" s="226">
        <f>SUM(H571:H574)</f>
        <v>2000</v>
      </c>
      <c r="I576" s="243">
        <f>SUM(I571:I574)</f>
        <v>80</v>
      </c>
      <c r="J576" s="226">
        <f>SUM(J571:J574)</f>
        <v>46060</v>
      </c>
      <c r="K576" s="306"/>
      <c r="L576" s="312">
        <f>SUM(L571:L575)</f>
        <v>40000</v>
      </c>
    </row>
    <row r="577" spans="1:12" ht="22.5" customHeight="1">
      <c r="A577" s="228" t="s">
        <v>109</v>
      </c>
      <c r="B577" s="244"/>
      <c r="C577" s="245"/>
      <c r="D577" s="205"/>
      <c r="E577" s="195"/>
      <c r="F577" s="195"/>
      <c r="G577" s="231"/>
      <c r="H577" s="195"/>
      <c r="I577" s="195"/>
      <c r="J577" s="195"/>
      <c r="K577" s="309"/>
      <c r="L577" s="313"/>
    </row>
    <row r="578" spans="1:12" ht="22.5" customHeight="1" thickBot="1">
      <c r="A578" s="246" t="s">
        <v>110</v>
      </c>
      <c r="B578" s="247"/>
      <c r="C578" s="248" t="s">
        <v>111</v>
      </c>
      <c r="D578" s="242"/>
      <c r="E578" s="243"/>
      <c r="F578" s="226"/>
      <c r="G578" s="249"/>
      <c r="H578" s="226"/>
      <c r="I578" s="243"/>
      <c r="J578" s="226"/>
      <c r="K578" s="306"/>
      <c r="L578" s="312"/>
    </row>
    <row r="579" spans="1:12" ht="22.5" customHeight="1">
      <c r="A579" s="228" t="s">
        <v>112</v>
      </c>
      <c r="B579" s="250"/>
      <c r="C579" s="245"/>
      <c r="D579" s="205"/>
      <c r="E579" s="195"/>
      <c r="F579" s="195"/>
      <c r="G579" s="231"/>
      <c r="H579" s="195"/>
      <c r="I579" s="195"/>
      <c r="J579" s="195"/>
      <c r="K579" s="309"/>
      <c r="L579" s="313"/>
    </row>
    <row r="580" spans="1:12" ht="22.5" customHeight="1">
      <c r="A580" s="176" t="s">
        <v>113</v>
      </c>
      <c r="B580" s="199">
        <v>45664</v>
      </c>
      <c r="C580" s="251" t="s">
        <v>114</v>
      </c>
      <c r="D580" s="177" t="s">
        <v>41</v>
      </c>
      <c r="E580" s="206">
        <v>12600</v>
      </c>
      <c r="F580" s="230"/>
      <c r="G580" s="209">
        <v>2</v>
      </c>
      <c r="H580" s="197">
        <f t="shared" ref="H580:H582" si="146">SUM(G580*200)</f>
        <v>400</v>
      </c>
      <c r="I580" s="314">
        <v>20</v>
      </c>
      <c r="J580" s="282">
        <v>12400</v>
      </c>
      <c r="K580" s="295" t="s">
        <v>115</v>
      </c>
      <c r="L580" s="291">
        <v>12000</v>
      </c>
    </row>
    <row r="581" spans="1:12" ht="22.5" customHeight="1">
      <c r="A581" s="176" t="s">
        <v>116</v>
      </c>
      <c r="B581" s="199">
        <v>45659</v>
      </c>
      <c r="C581" s="252" t="s">
        <v>117</v>
      </c>
      <c r="D581" s="205" t="s">
        <v>935</v>
      </c>
      <c r="E581" s="206">
        <v>7000</v>
      </c>
      <c r="F581" s="195"/>
      <c r="G581" s="209">
        <v>1</v>
      </c>
      <c r="H581" s="197">
        <f t="shared" si="146"/>
        <v>200</v>
      </c>
      <c r="I581" s="314">
        <v>20</v>
      </c>
      <c r="J581" s="282">
        <v>7220</v>
      </c>
      <c r="K581" s="288" t="s">
        <v>119</v>
      </c>
      <c r="L581" s="291">
        <v>7000</v>
      </c>
    </row>
    <row r="582" spans="1:12" ht="22.5" customHeight="1">
      <c r="A582" s="176" t="s">
        <v>120</v>
      </c>
      <c r="B582" s="199">
        <v>45690</v>
      </c>
      <c r="C582" s="253" t="s">
        <v>121</v>
      </c>
      <c r="D582" s="177" t="s">
        <v>906</v>
      </c>
      <c r="E582" s="209">
        <v>10000</v>
      </c>
      <c r="F582" s="254"/>
      <c r="G582" s="209">
        <v>2</v>
      </c>
      <c r="H582" s="197">
        <f t="shared" si="146"/>
        <v>400</v>
      </c>
      <c r="I582" s="315">
        <v>20</v>
      </c>
      <c r="J582" s="254">
        <v>10420</v>
      </c>
      <c r="K582" s="316" t="s">
        <v>122</v>
      </c>
      <c r="L582" s="291">
        <v>10000</v>
      </c>
    </row>
    <row r="583" spans="1:12" ht="22.5" customHeight="1" thickBot="1">
      <c r="A583" s="246"/>
      <c r="B583" s="247"/>
      <c r="C583" s="255"/>
      <c r="D583" s="242"/>
      <c r="E583" s="256">
        <f>SUM(E580:E582)</f>
        <v>29600</v>
      </c>
      <c r="F583" s="257"/>
      <c r="G583" s="256">
        <f>SUM(G580:G582)</f>
        <v>5</v>
      </c>
      <c r="H583" s="257">
        <f>SUM(H580:H582)</f>
        <v>1000</v>
      </c>
      <c r="I583" s="257">
        <f>SUM(I580:I582)</f>
        <v>60</v>
      </c>
      <c r="J583" s="257">
        <f>SUM(J580:J582)</f>
        <v>30040</v>
      </c>
      <c r="K583" s="317"/>
      <c r="L583" s="312">
        <f>SUM(L580:L582)</f>
        <v>29000</v>
      </c>
    </row>
    <row r="584" spans="1:12" ht="22.5" customHeight="1">
      <c r="B584" s="244"/>
      <c r="C584" s="80"/>
      <c r="D584" s="258"/>
      <c r="E584" s="259">
        <f>SUM(E569,E576,E578,E583)</f>
        <v>222850</v>
      </c>
      <c r="F584" s="260"/>
      <c r="G584" s="259">
        <f>SUM(G569,G576,G578,G583)</f>
        <v>45</v>
      </c>
      <c r="H584" s="259">
        <f>SUM(H569,H576,H578,H583)</f>
        <v>9000</v>
      </c>
      <c r="I584" s="318">
        <f>SUM(I569,I576,I578,I583)</f>
        <v>520</v>
      </c>
      <c r="J584" s="259">
        <f>SUM(J569,J576,J578,J583)</f>
        <v>231310</v>
      </c>
      <c r="K584" s="319"/>
      <c r="L584" s="291"/>
    </row>
    <row r="585" spans="1:12" ht="22.5" customHeight="1">
      <c r="A585" s="228" t="s">
        <v>123</v>
      </c>
      <c r="B585" s="261"/>
      <c r="C585" s="262"/>
      <c r="D585" s="15"/>
      <c r="E585" s="195"/>
      <c r="F585" s="263" t="s">
        <v>124</v>
      </c>
      <c r="G585" s="264"/>
      <c r="H585" s="195"/>
      <c r="I585" s="195"/>
      <c r="J585" s="230"/>
      <c r="K585" s="309"/>
      <c r="L585" s="284"/>
    </row>
    <row r="586" spans="1:12" ht="22.5" customHeight="1">
      <c r="A586" s="176" t="s">
        <v>125</v>
      </c>
      <c r="B586" s="199">
        <v>45664</v>
      </c>
      <c r="C586" s="265" t="s">
        <v>126</v>
      </c>
      <c r="D586" s="205" t="s">
        <v>936</v>
      </c>
      <c r="E586" s="202">
        <v>5000</v>
      </c>
      <c r="F586" s="266">
        <v>325</v>
      </c>
      <c r="G586" s="203">
        <v>2</v>
      </c>
      <c r="H586" s="266">
        <f t="shared" ref="H586:H587" si="147">SUM(G586*200)</f>
        <v>400</v>
      </c>
      <c r="I586" s="202">
        <v>20</v>
      </c>
      <c r="J586" s="282">
        <f>SUM(E586,F586,H586,I586)</f>
        <v>5745</v>
      </c>
      <c r="K586" s="319" t="s">
        <v>128</v>
      </c>
      <c r="L586" s="284">
        <v>5000</v>
      </c>
    </row>
    <row r="587" spans="1:12" ht="22.5" customHeight="1">
      <c r="A587" s="176" t="s">
        <v>129</v>
      </c>
      <c r="B587" s="199">
        <v>45688</v>
      </c>
      <c r="C587" s="265" t="s">
        <v>130</v>
      </c>
      <c r="D587" s="205" t="s">
        <v>937</v>
      </c>
      <c r="E587" s="206">
        <v>5500</v>
      </c>
      <c r="F587" s="195"/>
      <c r="G587" s="203">
        <v>1</v>
      </c>
      <c r="H587" s="266">
        <f t="shared" si="147"/>
        <v>200</v>
      </c>
      <c r="I587" s="206">
        <v>20</v>
      </c>
      <c r="J587" s="282">
        <f>SUM(E587,H587:I587)</f>
        <v>5720</v>
      </c>
      <c r="K587" s="319" t="s">
        <v>132</v>
      </c>
      <c r="L587" s="291">
        <v>5500</v>
      </c>
    </row>
    <row r="588" spans="1:12" ht="22.5" customHeight="1" thickBot="1">
      <c r="A588" s="267" t="s">
        <v>133</v>
      </c>
      <c r="B588" s="268"/>
      <c r="C588" s="269"/>
      <c r="D588" s="242"/>
      <c r="E588" s="270">
        <f>SUM(E586:E587)</f>
        <v>10500</v>
      </c>
      <c r="F588" s="226">
        <f t="shared" ref="F588:I588" si="148">SUM(F586:F587)</f>
        <v>325</v>
      </c>
      <c r="G588" s="243">
        <f t="shared" si="148"/>
        <v>3</v>
      </c>
      <c r="H588" s="226">
        <f t="shared" si="148"/>
        <v>600</v>
      </c>
      <c r="I588" s="320">
        <f t="shared" si="148"/>
        <v>40</v>
      </c>
      <c r="J588" s="321">
        <f>SUM(F588,H588,I588,)</f>
        <v>965</v>
      </c>
      <c r="K588" s="322"/>
      <c r="L588" s="323"/>
    </row>
    <row r="589" spans="1:12" ht="22.5" customHeight="1">
      <c r="E589" s="271" t="s">
        <v>134</v>
      </c>
      <c r="F589" s="272">
        <f>SUM(F584,F588)</f>
        <v>325</v>
      </c>
      <c r="H589" s="272">
        <f>SUM(H584,H588)</f>
        <v>9600</v>
      </c>
      <c r="I589" s="324">
        <f>SUM(I584,I588)</f>
        <v>560</v>
      </c>
      <c r="J589" s="325" t="s">
        <v>135</v>
      </c>
      <c r="L589" s="326"/>
    </row>
    <row r="590" spans="1:12" ht="22.5" customHeight="1">
      <c r="D590" s="326">
        <f>SUM(E90,E134,E179,E224,E269,E314,E359,E404,E449,E494,E539,E584)</f>
        <v>222850</v>
      </c>
      <c r="E590" s="326">
        <f>SUM(E75,E119,E164,E215,E254,E299,E344,E389,E434,E479,E524,E569)</f>
        <v>251850</v>
      </c>
    </row>
    <row r="591" spans="1:12" ht="22.5" customHeight="1"/>
    <row r="592" spans="1:12" ht="22.5" customHeight="1"/>
    <row r="593" spans="1:12" ht="22.5" customHeight="1"/>
    <row r="594" spans="1:12" ht="22.5" customHeight="1"/>
    <row r="595" spans="1:12" ht="22.5" customHeight="1"/>
    <row r="596" spans="1:12" ht="22.5" customHeight="1" thickBot="1">
      <c r="A596" s="185" t="s">
        <v>8</v>
      </c>
      <c r="B596" s="186" t="s">
        <v>963</v>
      </c>
      <c r="C596" s="187"/>
      <c r="D596" s="187"/>
      <c r="E596" s="187"/>
      <c r="F596" s="273"/>
      <c r="G596" s="189"/>
      <c r="H596" s="273"/>
      <c r="I596" s="187"/>
      <c r="J596" s="187"/>
      <c r="K596" s="187"/>
      <c r="L596" s="187"/>
    </row>
    <row r="597" spans="1:12" ht="22.5" customHeight="1">
      <c r="A597" s="190" t="s">
        <v>10</v>
      </c>
      <c r="B597" s="191">
        <v>45721</v>
      </c>
      <c r="C597" s="192" t="s">
        <v>1065</v>
      </c>
      <c r="D597" s="193" t="s">
        <v>964</v>
      </c>
      <c r="E597" s="194">
        <v>8000</v>
      </c>
      <c r="F597" s="195">
        <f>SUM(E597*0.5)</f>
        <v>4000</v>
      </c>
      <c r="G597" s="196">
        <v>1</v>
      </c>
      <c r="H597" s="197">
        <f t="shared" ref="H597:H599" si="149">SUM(G597*200)</f>
        <v>200</v>
      </c>
      <c r="I597" s="194">
        <v>20</v>
      </c>
      <c r="J597" s="279">
        <v>8220</v>
      </c>
      <c r="K597" s="280" t="s">
        <v>13</v>
      </c>
      <c r="L597" s="281">
        <v>8000</v>
      </c>
    </row>
    <row r="598" spans="1:12" ht="22.5" customHeight="1">
      <c r="A598" s="198" t="s">
        <v>14</v>
      </c>
      <c r="B598" s="199">
        <v>45720</v>
      </c>
      <c r="C598" s="200" t="s">
        <v>1000</v>
      </c>
      <c r="D598" s="201" t="s">
        <v>965</v>
      </c>
      <c r="E598" s="202">
        <v>8500</v>
      </c>
      <c r="F598" s="195">
        <f>SUM(E598*0.5)</f>
        <v>4250</v>
      </c>
      <c r="G598" s="203">
        <v>3</v>
      </c>
      <c r="H598" s="197">
        <f t="shared" si="149"/>
        <v>600</v>
      </c>
      <c r="I598" s="206">
        <v>20</v>
      </c>
      <c r="J598" s="282">
        <v>8620</v>
      </c>
      <c r="K598" s="283" t="s">
        <v>314</v>
      </c>
      <c r="L598" s="284">
        <v>8500</v>
      </c>
    </row>
    <row r="599" spans="1:12" ht="22.5" customHeight="1">
      <c r="A599" s="190" t="s">
        <v>18</v>
      </c>
      <c r="B599" s="199">
        <v>45725</v>
      </c>
      <c r="C599" s="204" t="s">
        <v>1066</v>
      </c>
      <c r="D599" s="205" t="s">
        <v>966</v>
      </c>
      <c r="E599" s="202">
        <v>8000</v>
      </c>
      <c r="F599" s="195">
        <f t="shared" ref="F599:F600" si="150">SUM(E599*0.5)</f>
        <v>4000</v>
      </c>
      <c r="G599" s="203">
        <v>1</v>
      </c>
      <c r="H599" s="197">
        <f t="shared" si="149"/>
        <v>200</v>
      </c>
      <c r="I599" s="206">
        <v>20</v>
      </c>
      <c r="J599" s="282">
        <f>SUM(E599,H599:I599)</f>
        <v>8220</v>
      </c>
      <c r="K599" s="288" t="s">
        <v>21</v>
      </c>
      <c r="L599" s="284">
        <v>8000</v>
      </c>
    </row>
    <row r="600" spans="1:12" ht="22.5" customHeight="1">
      <c r="A600" s="190" t="s">
        <v>22</v>
      </c>
      <c r="B600" s="199">
        <v>45710</v>
      </c>
      <c r="C600" s="26" t="s">
        <v>990</v>
      </c>
      <c r="D600" s="205" t="s">
        <v>967</v>
      </c>
      <c r="E600" s="206">
        <v>7250</v>
      </c>
      <c r="F600" s="195">
        <f t="shared" si="150"/>
        <v>3625</v>
      </c>
      <c r="G600" s="203">
        <v>1</v>
      </c>
      <c r="H600" s="197">
        <f t="shared" ref="H600" si="151">SUM(G600*200)</f>
        <v>200</v>
      </c>
      <c r="I600" s="206">
        <v>20</v>
      </c>
      <c r="J600" s="282">
        <f>SUM(E600,H600:I600)</f>
        <v>7470</v>
      </c>
      <c r="K600" s="290" t="s">
        <v>25</v>
      </c>
      <c r="L600" s="291">
        <v>5000</v>
      </c>
    </row>
    <row r="601" spans="1:12" ht="22.5" customHeight="1">
      <c r="A601" s="190" t="s">
        <v>26</v>
      </c>
      <c r="B601" s="199"/>
      <c r="C601" s="207" t="s">
        <v>162</v>
      </c>
      <c r="D601" s="208"/>
      <c r="E601" s="209"/>
      <c r="F601" s="195"/>
      <c r="G601" s="210"/>
      <c r="H601" s="197"/>
      <c r="I601" s="209"/>
      <c r="J601" s="254"/>
      <c r="K601" s="24"/>
      <c r="L601" s="291"/>
    </row>
    <row r="602" spans="1:12" ht="22.5" customHeight="1">
      <c r="A602" s="190" t="s">
        <v>30</v>
      </c>
      <c r="B602" s="199">
        <v>45740</v>
      </c>
      <c r="C602" s="204" t="s">
        <v>1071</v>
      </c>
      <c r="D602" s="205" t="s">
        <v>970</v>
      </c>
      <c r="E602" s="209">
        <v>6500</v>
      </c>
      <c r="F602" s="195">
        <v>3250</v>
      </c>
      <c r="G602" s="210">
        <v>0</v>
      </c>
      <c r="H602" s="197"/>
      <c r="I602" s="209"/>
      <c r="J602" s="254">
        <v>6500</v>
      </c>
      <c r="K602" s="294" t="s">
        <v>1070</v>
      </c>
      <c r="L602" s="287">
        <v>6500</v>
      </c>
    </row>
    <row r="603" spans="1:12" ht="22.5" customHeight="1">
      <c r="A603" s="190" t="s">
        <v>33</v>
      </c>
      <c r="B603" s="199">
        <v>45717</v>
      </c>
      <c r="C603" s="204" t="s">
        <v>996</v>
      </c>
      <c r="D603" s="205" t="s">
        <v>968</v>
      </c>
      <c r="E603" s="202">
        <v>6000</v>
      </c>
      <c r="F603" s="195">
        <f t="shared" ref="F603:F612" si="152">SUM(E603*0.5)</f>
        <v>3000</v>
      </c>
      <c r="G603" s="210">
        <v>1</v>
      </c>
      <c r="H603" s="197">
        <f t="shared" ref="H603:H612" si="153">SUM(G603*200)</f>
        <v>200</v>
      </c>
      <c r="I603" s="202">
        <v>20</v>
      </c>
      <c r="J603" s="197">
        <v>6220</v>
      </c>
      <c r="K603" s="288" t="s">
        <v>17</v>
      </c>
      <c r="L603" s="284">
        <v>6000</v>
      </c>
    </row>
    <row r="604" spans="1:12" ht="22.5" customHeight="1">
      <c r="A604" s="190" t="s">
        <v>35</v>
      </c>
      <c r="B604" s="199">
        <v>45689</v>
      </c>
      <c r="C604" s="211" t="s">
        <v>987</v>
      </c>
      <c r="D604" s="177" t="s">
        <v>969</v>
      </c>
      <c r="E604" s="212">
        <v>6000</v>
      </c>
      <c r="F604" s="195">
        <f t="shared" si="152"/>
        <v>3000</v>
      </c>
      <c r="G604" s="210">
        <v>1</v>
      </c>
      <c r="H604" s="197">
        <f t="shared" si="153"/>
        <v>200</v>
      </c>
      <c r="I604" s="206">
        <v>20</v>
      </c>
      <c r="J604" s="282">
        <v>6220</v>
      </c>
      <c r="K604" s="295" t="s">
        <v>38</v>
      </c>
      <c r="L604" s="284">
        <v>6000</v>
      </c>
    </row>
    <row r="605" spans="1:12" ht="22.5" customHeight="1">
      <c r="A605" s="213" t="s">
        <v>39</v>
      </c>
      <c r="B605" s="199">
        <v>45717</v>
      </c>
      <c r="C605" s="14" t="s">
        <v>993</v>
      </c>
      <c r="D605" s="205" t="s">
        <v>970</v>
      </c>
      <c r="E605" s="202">
        <v>8000</v>
      </c>
      <c r="F605" s="195">
        <f t="shared" si="152"/>
        <v>4000</v>
      </c>
      <c r="G605" s="203">
        <v>1</v>
      </c>
      <c r="H605" s="197">
        <f t="shared" si="153"/>
        <v>200</v>
      </c>
      <c r="I605" s="202">
        <v>20</v>
      </c>
      <c r="J605" s="282">
        <f>SUM(E605,H605:I605)</f>
        <v>8220</v>
      </c>
      <c r="K605" s="288" t="s">
        <v>42</v>
      </c>
      <c r="L605" s="284">
        <v>8000</v>
      </c>
    </row>
    <row r="606" spans="1:12" ht="22.5" customHeight="1">
      <c r="A606" s="213" t="s">
        <v>43</v>
      </c>
      <c r="B606" s="199">
        <v>45716</v>
      </c>
      <c r="C606" s="204" t="s">
        <v>992</v>
      </c>
      <c r="D606" s="14" t="s">
        <v>971</v>
      </c>
      <c r="E606" s="202">
        <v>8000</v>
      </c>
      <c r="F606" s="195">
        <f t="shared" si="152"/>
        <v>4000</v>
      </c>
      <c r="G606" s="203">
        <v>2</v>
      </c>
      <c r="H606" s="197">
        <f t="shared" si="153"/>
        <v>400</v>
      </c>
      <c r="I606" s="206">
        <v>20</v>
      </c>
      <c r="J606" s="282">
        <f>SUM(E606,H606:I606)</f>
        <v>8420</v>
      </c>
      <c r="K606" s="288" t="s">
        <v>46</v>
      </c>
      <c r="L606" s="284">
        <v>8000</v>
      </c>
    </row>
    <row r="607" spans="1:12" ht="22.5" customHeight="1">
      <c r="A607" s="213" t="s">
        <v>47</v>
      </c>
      <c r="B607" s="199">
        <v>45716</v>
      </c>
      <c r="C607" s="204" t="s">
        <v>991</v>
      </c>
      <c r="D607" s="205" t="s">
        <v>972</v>
      </c>
      <c r="E607" s="202">
        <v>8000</v>
      </c>
      <c r="F607" s="195">
        <f t="shared" si="152"/>
        <v>4000</v>
      </c>
      <c r="G607" s="203">
        <v>2</v>
      </c>
      <c r="H607" s="197">
        <f t="shared" si="153"/>
        <v>400</v>
      </c>
      <c r="I607" s="202">
        <v>20</v>
      </c>
      <c r="J607" s="282">
        <v>8600</v>
      </c>
      <c r="K607" s="288" t="s">
        <v>50</v>
      </c>
      <c r="L607" s="291">
        <v>8000</v>
      </c>
    </row>
    <row r="608" spans="1:12" ht="22.5" customHeight="1">
      <c r="A608" s="213" t="s">
        <v>51</v>
      </c>
      <c r="B608" s="199">
        <v>45717</v>
      </c>
      <c r="C608" s="204" t="s">
        <v>997</v>
      </c>
      <c r="D608" s="205" t="s">
        <v>968</v>
      </c>
      <c r="E608" s="212">
        <v>8500</v>
      </c>
      <c r="F608" s="195">
        <f t="shared" si="152"/>
        <v>4250</v>
      </c>
      <c r="G608" s="210">
        <v>2</v>
      </c>
      <c r="H608" s="197">
        <f t="shared" si="153"/>
        <v>400</v>
      </c>
      <c r="I608" s="212">
        <v>20</v>
      </c>
      <c r="J608" s="282">
        <v>8920</v>
      </c>
      <c r="K608" s="295" t="s">
        <v>577</v>
      </c>
      <c r="L608" s="284">
        <v>8500</v>
      </c>
    </row>
    <row r="609" spans="1:12" ht="22.5" customHeight="1">
      <c r="A609" s="213" t="s">
        <v>55</v>
      </c>
      <c r="B609" s="199">
        <v>45717</v>
      </c>
      <c r="C609" s="204" t="s">
        <v>994</v>
      </c>
      <c r="D609" s="205" t="s">
        <v>972</v>
      </c>
      <c r="E609" s="202">
        <v>7500</v>
      </c>
      <c r="F609" s="195">
        <f t="shared" si="152"/>
        <v>3750</v>
      </c>
      <c r="G609" s="203">
        <v>2</v>
      </c>
      <c r="H609" s="197">
        <f t="shared" si="153"/>
        <v>400</v>
      </c>
      <c r="I609" s="206">
        <v>20</v>
      </c>
      <c r="J609" s="282">
        <v>7920</v>
      </c>
      <c r="K609" s="288" t="s">
        <v>57</v>
      </c>
      <c r="L609" s="284">
        <v>7500</v>
      </c>
    </row>
    <row r="610" spans="1:12" ht="22.5" customHeight="1">
      <c r="A610" s="213" t="s">
        <v>58</v>
      </c>
      <c r="B610" s="199">
        <v>45717</v>
      </c>
      <c r="C610" s="204" t="s">
        <v>995</v>
      </c>
      <c r="D610" s="205" t="s">
        <v>144</v>
      </c>
      <c r="E610" s="202">
        <v>6500</v>
      </c>
      <c r="F610" s="195">
        <f t="shared" si="152"/>
        <v>3250</v>
      </c>
      <c r="G610" s="203">
        <v>1</v>
      </c>
      <c r="H610" s="197">
        <f t="shared" si="153"/>
        <v>200</v>
      </c>
      <c r="I610" s="206">
        <v>20</v>
      </c>
      <c r="J610" s="254">
        <v>6620</v>
      </c>
      <c r="K610" s="296" t="s">
        <v>378</v>
      </c>
      <c r="L610" s="284">
        <v>6500</v>
      </c>
    </row>
    <row r="611" spans="1:12" ht="22.5" customHeight="1">
      <c r="A611" s="213" t="s">
        <v>60</v>
      </c>
      <c r="B611" s="199">
        <v>45701</v>
      </c>
      <c r="C611" s="204" t="s">
        <v>989</v>
      </c>
      <c r="D611" s="205" t="s">
        <v>967</v>
      </c>
      <c r="E611" s="202">
        <v>6500</v>
      </c>
      <c r="F611" s="195">
        <f t="shared" si="152"/>
        <v>3250</v>
      </c>
      <c r="G611" s="203">
        <v>2</v>
      </c>
      <c r="H611" s="197">
        <f t="shared" si="153"/>
        <v>400</v>
      </c>
      <c r="I611" s="206">
        <v>20</v>
      </c>
      <c r="J611" s="282">
        <v>6920</v>
      </c>
      <c r="K611" s="288" t="s">
        <v>506</v>
      </c>
      <c r="L611" s="284">
        <v>6500</v>
      </c>
    </row>
    <row r="612" spans="1:12" ht="22.5" customHeight="1">
      <c r="A612" s="214" t="s">
        <v>63</v>
      </c>
      <c r="B612" s="199">
        <v>45720</v>
      </c>
      <c r="C612" s="204" t="s">
        <v>999</v>
      </c>
      <c r="D612" s="205" t="s">
        <v>973</v>
      </c>
      <c r="E612" s="206">
        <v>9000</v>
      </c>
      <c r="F612" s="195">
        <f t="shared" si="152"/>
        <v>4500</v>
      </c>
      <c r="G612" s="203">
        <v>2</v>
      </c>
      <c r="H612" s="197">
        <f t="shared" si="153"/>
        <v>400</v>
      </c>
      <c r="I612" s="206">
        <v>20</v>
      </c>
      <c r="J612" s="282">
        <v>9420</v>
      </c>
      <c r="K612" s="288" t="s">
        <v>584</v>
      </c>
      <c r="L612" s="291">
        <v>9000</v>
      </c>
    </row>
    <row r="613" spans="1:12" ht="22.5" customHeight="1">
      <c r="A613" s="214" t="s">
        <v>67</v>
      </c>
      <c r="B613" s="199"/>
      <c r="C613" s="204" t="s">
        <v>162</v>
      </c>
      <c r="D613" s="205"/>
      <c r="E613" s="206"/>
      <c r="F613" s="195"/>
      <c r="G613" s="203"/>
      <c r="H613" s="197"/>
      <c r="I613" s="206"/>
      <c r="J613" s="282"/>
      <c r="K613" s="295"/>
      <c r="L613" s="284"/>
    </row>
    <row r="614" spans="1:12" ht="22.5" customHeight="1">
      <c r="A614" s="214" t="s">
        <v>71</v>
      </c>
      <c r="B614" s="199">
        <v>45720</v>
      </c>
      <c r="C614" s="204" t="s">
        <v>1001</v>
      </c>
      <c r="D614" s="205" t="s">
        <v>974</v>
      </c>
      <c r="E614" s="206">
        <v>8500</v>
      </c>
      <c r="F614" s="195">
        <f t="shared" ref="F614:F618" si="154">SUM(E614*0.5)</f>
        <v>4250</v>
      </c>
      <c r="G614" s="203">
        <v>2</v>
      </c>
      <c r="H614" s="197">
        <f t="shared" ref="H614:H618" si="155">SUM(G614*200)</f>
        <v>400</v>
      </c>
      <c r="I614" s="206">
        <v>20</v>
      </c>
      <c r="J614" s="282">
        <v>8920</v>
      </c>
      <c r="K614" s="288" t="s">
        <v>383</v>
      </c>
      <c r="L614" s="291">
        <v>8500</v>
      </c>
    </row>
    <row r="615" spans="1:12" ht="22.5" customHeight="1">
      <c r="A615" s="214" t="s">
        <v>74</v>
      </c>
      <c r="B615" s="199">
        <v>45720</v>
      </c>
      <c r="C615" s="204" t="s">
        <v>1002</v>
      </c>
      <c r="D615" s="205" t="s">
        <v>968</v>
      </c>
      <c r="E615" s="206">
        <v>8000</v>
      </c>
      <c r="F615" s="195">
        <f t="shared" si="154"/>
        <v>4000</v>
      </c>
      <c r="G615" s="203">
        <v>2</v>
      </c>
      <c r="H615" s="197">
        <f t="shared" si="155"/>
        <v>400</v>
      </c>
      <c r="I615" s="206">
        <v>20</v>
      </c>
      <c r="J615" s="282">
        <f>SUM(E615,H615:I615)</f>
        <v>8420</v>
      </c>
      <c r="K615" s="288" t="s">
        <v>76</v>
      </c>
      <c r="L615" s="291">
        <v>8000</v>
      </c>
    </row>
    <row r="616" spans="1:12" ht="22.5" customHeight="1">
      <c r="A616" s="214" t="s">
        <v>77</v>
      </c>
      <c r="B616" s="199">
        <v>45693</v>
      </c>
      <c r="C616" s="207" t="s">
        <v>988</v>
      </c>
      <c r="D616" s="205" t="s">
        <v>970</v>
      </c>
      <c r="E616" s="206">
        <v>8000</v>
      </c>
      <c r="F616" s="195">
        <f t="shared" si="154"/>
        <v>4000</v>
      </c>
      <c r="G616" s="203">
        <v>2</v>
      </c>
      <c r="H616" s="197">
        <f t="shared" si="155"/>
        <v>400</v>
      </c>
      <c r="I616" s="206">
        <v>20</v>
      </c>
      <c r="J616" s="282">
        <f>SUM(E616,H616:I616)</f>
        <v>8420</v>
      </c>
      <c r="K616" s="288" t="s">
        <v>340</v>
      </c>
      <c r="L616" s="291">
        <v>8000</v>
      </c>
    </row>
    <row r="617" spans="1:12" ht="22.5" customHeight="1">
      <c r="A617" s="214" t="s">
        <v>81</v>
      </c>
      <c r="B617" s="199">
        <v>45719</v>
      </c>
      <c r="C617" s="207" t="s">
        <v>998</v>
      </c>
      <c r="D617" s="177" t="s">
        <v>975</v>
      </c>
      <c r="E617" s="209">
        <v>6000</v>
      </c>
      <c r="F617" s="195">
        <f t="shared" si="154"/>
        <v>3000</v>
      </c>
      <c r="G617" s="210">
        <v>1</v>
      </c>
      <c r="H617" s="197">
        <f t="shared" si="155"/>
        <v>200</v>
      </c>
      <c r="I617" s="206">
        <v>20</v>
      </c>
      <c r="J617" s="282">
        <v>6220</v>
      </c>
      <c r="K617" s="295" t="s">
        <v>83</v>
      </c>
      <c r="L617" s="291">
        <v>6000</v>
      </c>
    </row>
    <row r="618" spans="1:12" ht="22.5" customHeight="1">
      <c r="A618" s="215" t="s">
        <v>84</v>
      </c>
      <c r="B618" s="216">
        <v>45721</v>
      </c>
      <c r="C618" s="217" t="s">
        <v>1064</v>
      </c>
      <c r="D618" s="218" t="s">
        <v>974</v>
      </c>
      <c r="E618" s="219">
        <v>6500</v>
      </c>
      <c r="F618" s="195">
        <f t="shared" si="154"/>
        <v>3250</v>
      </c>
      <c r="G618" s="220">
        <v>1</v>
      </c>
      <c r="H618" s="197">
        <f t="shared" si="155"/>
        <v>200</v>
      </c>
      <c r="I618" s="219">
        <v>20</v>
      </c>
      <c r="J618" s="303">
        <v>6720</v>
      </c>
      <c r="K618" s="304" t="s">
        <v>390</v>
      </c>
      <c r="L618" s="305">
        <v>6000</v>
      </c>
    </row>
    <row r="619" spans="1:12" ht="22.5" customHeight="1" thickBot="1">
      <c r="A619" s="221"/>
      <c r="B619" s="222"/>
      <c r="C619" s="223"/>
      <c r="D619" s="224"/>
      <c r="E619" s="225">
        <f>SUM(E597:E618)</f>
        <v>149250</v>
      </c>
      <c r="F619" s="226">
        <f>SUM(F597:F618)</f>
        <v>74625</v>
      </c>
      <c r="G619" s="225">
        <f t="shared" ref="G619:J619" si="156">SUM(G597:G618)</f>
        <v>30</v>
      </c>
      <c r="H619" s="227">
        <f t="shared" si="156"/>
        <v>6000</v>
      </c>
      <c r="I619" s="225">
        <f t="shared" si="156"/>
        <v>380</v>
      </c>
      <c r="J619" s="227">
        <f t="shared" si="156"/>
        <v>155210</v>
      </c>
      <c r="K619" s="306"/>
      <c r="L619" s="307">
        <f>SUM(L597:L618)</f>
        <v>146500</v>
      </c>
    </row>
    <row r="620" spans="1:12" ht="22.5" customHeight="1">
      <c r="A620" s="228" t="s">
        <v>88</v>
      </c>
      <c r="B620" s="229"/>
      <c r="C620" s="230"/>
      <c r="D620" s="205"/>
      <c r="E620" s="195"/>
      <c r="F620" s="195"/>
      <c r="G620" s="231"/>
      <c r="H620" s="195"/>
      <c r="I620" s="195"/>
      <c r="J620" s="230"/>
      <c r="K620" s="309"/>
      <c r="L620" s="291"/>
    </row>
    <row r="621" spans="1:12" ht="22.5" customHeight="1">
      <c r="A621" s="176" t="s">
        <v>89</v>
      </c>
      <c r="B621" s="199">
        <v>45700</v>
      </c>
      <c r="C621" s="204" t="s">
        <v>90</v>
      </c>
      <c r="D621" s="205" t="s">
        <v>976</v>
      </c>
      <c r="E621" s="206">
        <v>10000</v>
      </c>
      <c r="F621" s="195"/>
      <c r="G621" s="232">
        <v>2</v>
      </c>
      <c r="H621" s="197">
        <f t="shared" ref="H621:H625" si="157">SUM(G621*200)</f>
        <v>400</v>
      </c>
      <c r="I621" s="206">
        <v>20</v>
      </c>
      <c r="J621" s="282">
        <v>10420</v>
      </c>
      <c r="K621" s="288" t="s">
        <v>92</v>
      </c>
      <c r="L621" s="291">
        <v>10000</v>
      </c>
    </row>
    <row r="622" spans="1:12" ht="22.5" customHeight="1">
      <c r="A622" s="176" t="s">
        <v>93</v>
      </c>
      <c r="B622" s="199">
        <v>45702</v>
      </c>
      <c r="C622" s="207" t="s">
        <v>94</v>
      </c>
      <c r="D622" s="177" t="s">
        <v>977</v>
      </c>
      <c r="E622" s="212">
        <v>10000</v>
      </c>
      <c r="F622" s="233"/>
      <c r="G622" s="210">
        <v>2</v>
      </c>
      <c r="H622" s="197">
        <f t="shared" si="157"/>
        <v>400</v>
      </c>
      <c r="I622" s="202">
        <v>20</v>
      </c>
      <c r="J622" s="282">
        <v>10420</v>
      </c>
      <c r="K622" s="310" t="s">
        <v>96</v>
      </c>
      <c r="L622" s="284">
        <v>6000</v>
      </c>
    </row>
    <row r="623" spans="1:12" ht="22.5" customHeight="1">
      <c r="A623" s="176" t="s">
        <v>97</v>
      </c>
      <c r="B623" s="199">
        <v>45706</v>
      </c>
      <c r="C623" s="204" t="s">
        <v>98</v>
      </c>
      <c r="D623" s="205" t="s">
        <v>978</v>
      </c>
      <c r="E623" s="234">
        <v>12000</v>
      </c>
      <c r="F623" s="235"/>
      <c r="G623" s="232">
        <v>2</v>
      </c>
      <c r="H623" s="197">
        <f t="shared" si="157"/>
        <v>400</v>
      </c>
      <c r="I623" s="206">
        <v>20</v>
      </c>
      <c r="J623" s="282">
        <v>12400</v>
      </c>
      <c r="K623" s="288" t="s">
        <v>99</v>
      </c>
      <c r="L623" s="291">
        <v>12000</v>
      </c>
    </row>
    <row r="624" spans="1:12" ht="22.5" customHeight="1">
      <c r="A624" s="176" t="s">
        <v>100</v>
      </c>
      <c r="B624" s="199">
        <v>45698</v>
      </c>
      <c r="C624" s="236" t="s">
        <v>474</v>
      </c>
      <c r="D624" s="205" t="s">
        <v>979</v>
      </c>
      <c r="E624" s="206">
        <v>12000</v>
      </c>
      <c r="F624" s="195"/>
      <c r="G624" s="232">
        <v>4</v>
      </c>
      <c r="H624" s="197">
        <f t="shared" si="157"/>
        <v>800</v>
      </c>
      <c r="I624" s="206">
        <v>20</v>
      </c>
      <c r="J624" s="282">
        <v>12820</v>
      </c>
      <c r="K624" s="311" t="s">
        <v>519</v>
      </c>
      <c r="L624" s="291">
        <v>12000</v>
      </c>
    </row>
    <row r="625" spans="1:12" ht="22.5" customHeight="1">
      <c r="A625" s="176" t="s">
        <v>104</v>
      </c>
      <c r="B625" s="339">
        <v>45719</v>
      </c>
      <c r="C625" s="237" t="s">
        <v>105</v>
      </c>
      <c r="D625" s="205" t="s">
        <v>980</v>
      </c>
      <c r="E625" s="206">
        <v>12000</v>
      </c>
      <c r="F625" s="195"/>
      <c r="G625" s="238">
        <v>3</v>
      </c>
      <c r="H625" s="197">
        <f t="shared" si="157"/>
        <v>600</v>
      </c>
      <c r="I625" s="219">
        <v>20</v>
      </c>
      <c r="J625" s="282">
        <v>12620</v>
      </c>
      <c r="K625" s="311" t="s">
        <v>107</v>
      </c>
      <c r="L625" s="291">
        <v>12000</v>
      </c>
    </row>
    <row r="626" spans="1:12" ht="22.5" customHeight="1" thickBot="1">
      <c r="A626" s="239"/>
      <c r="B626" s="240"/>
      <c r="C626" s="241" t="s">
        <v>108</v>
      </c>
      <c r="D626" s="242"/>
      <c r="E626" s="243">
        <f>SUM(E621:E624)</f>
        <v>44000</v>
      </c>
      <c r="F626" s="226"/>
      <c r="G626" s="226">
        <f>SUM(G621:G624)</f>
        <v>10</v>
      </c>
      <c r="H626" s="226">
        <f>SUM(H621:H624)</f>
        <v>2000</v>
      </c>
      <c r="I626" s="243">
        <f>SUM(I621:I624)</f>
        <v>80</v>
      </c>
      <c r="J626" s="226">
        <f>SUM(J621:J624)</f>
        <v>46060</v>
      </c>
      <c r="K626" s="306"/>
      <c r="L626" s="312">
        <f>SUM(L621:L625)</f>
        <v>52000</v>
      </c>
    </row>
    <row r="627" spans="1:12" ht="22.5" customHeight="1">
      <c r="A627" s="228" t="s">
        <v>109</v>
      </c>
      <c r="B627" s="244"/>
      <c r="C627" s="245"/>
      <c r="D627" s="205"/>
      <c r="E627" s="195"/>
      <c r="F627" s="195"/>
      <c r="G627" s="231"/>
      <c r="H627" s="195"/>
      <c r="I627" s="195"/>
      <c r="J627" s="195"/>
      <c r="K627" s="309"/>
      <c r="L627" s="313"/>
    </row>
    <row r="628" spans="1:12" ht="22.5" customHeight="1" thickBot="1">
      <c r="A628" s="246" t="s">
        <v>110</v>
      </c>
      <c r="B628" s="247"/>
      <c r="C628" s="248" t="s">
        <v>111</v>
      </c>
      <c r="D628" s="242"/>
      <c r="E628" s="243"/>
      <c r="F628" s="226"/>
      <c r="G628" s="249"/>
      <c r="H628" s="226"/>
      <c r="I628" s="243"/>
      <c r="J628" s="226"/>
      <c r="K628" s="306"/>
      <c r="L628" s="312"/>
    </row>
    <row r="629" spans="1:12" ht="22.5" customHeight="1">
      <c r="A629" s="228" t="s">
        <v>112</v>
      </c>
      <c r="B629" s="250"/>
      <c r="C629" s="245"/>
      <c r="D629" s="205"/>
      <c r="E629" s="195"/>
      <c r="F629" s="195"/>
      <c r="G629" s="231"/>
      <c r="H629" s="195"/>
      <c r="I629" s="195"/>
      <c r="J629" s="195"/>
      <c r="K629" s="309"/>
      <c r="L629" s="313"/>
    </row>
    <row r="630" spans="1:12" ht="22.5" customHeight="1">
      <c r="A630" s="176" t="s">
        <v>113</v>
      </c>
      <c r="B630" s="199">
        <v>45701</v>
      </c>
      <c r="C630" s="251" t="s">
        <v>114</v>
      </c>
      <c r="D630" s="177" t="s">
        <v>970</v>
      </c>
      <c r="E630" s="206">
        <v>12600</v>
      </c>
      <c r="F630" s="230"/>
      <c r="G630" s="209">
        <v>2</v>
      </c>
      <c r="H630" s="197">
        <f t="shared" ref="H630:H632" si="158">SUM(G630*200)</f>
        <v>400</v>
      </c>
      <c r="I630" s="314">
        <v>20</v>
      </c>
      <c r="J630" s="282">
        <v>12400</v>
      </c>
      <c r="K630" s="295" t="s">
        <v>115</v>
      </c>
      <c r="L630" s="291">
        <v>12000</v>
      </c>
    </row>
    <row r="631" spans="1:12" ht="22.5" customHeight="1">
      <c r="A631" s="176" t="s">
        <v>116</v>
      </c>
      <c r="B631" s="199">
        <v>45700</v>
      </c>
      <c r="C631" s="252" t="s">
        <v>117</v>
      </c>
      <c r="D631" s="205" t="s">
        <v>981</v>
      </c>
      <c r="E631" s="206">
        <v>7000</v>
      </c>
      <c r="F631" s="195"/>
      <c r="G631" s="209">
        <v>1</v>
      </c>
      <c r="H631" s="197">
        <f t="shared" si="158"/>
        <v>200</v>
      </c>
      <c r="I631" s="314">
        <v>20</v>
      </c>
      <c r="J631" s="282">
        <v>7220</v>
      </c>
      <c r="K631" s="288" t="s">
        <v>119</v>
      </c>
      <c r="L631" s="291">
        <v>7000</v>
      </c>
    </row>
    <row r="632" spans="1:12" ht="22.5" customHeight="1">
      <c r="A632" s="176" t="s">
        <v>120</v>
      </c>
      <c r="B632" s="199">
        <v>45709</v>
      </c>
      <c r="C632" s="253" t="s">
        <v>121</v>
      </c>
      <c r="D632" s="177" t="s">
        <v>968</v>
      </c>
      <c r="E632" s="209">
        <v>10000</v>
      </c>
      <c r="F632" s="254"/>
      <c r="G632" s="209">
        <v>2</v>
      </c>
      <c r="H632" s="197">
        <f t="shared" si="158"/>
        <v>400</v>
      </c>
      <c r="I632" s="315">
        <v>20</v>
      </c>
      <c r="J632" s="254">
        <v>10420</v>
      </c>
      <c r="K632" s="316" t="s">
        <v>122</v>
      </c>
      <c r="L632" s="291">
        <v>10000</v>
      </c>
    </row>
    <row r="633" spans="1:12" ht="22.5" customHeight="1" thickBot="1">
      <c r="A633" s="246"/>
      <c r="B633" s="247"/>
      <c r="C633" s="255"/>
      <c r="D633" s="242"/>
      <c r="E633" s="256">
        <f>SUM(E630:E632)</f>
        <v>29600</v>
      </c>
      <c r="F633" s="257"/>
      <c r="G633" s="256">
        <f>SUM(G630:G632)</f>
        <v>5</v>
      </c>
      <c r="H633" s="257">
        <f>SUM(H630:H632)</f>
        <v>1000</v>
      </c>
      <c r="I633" s="257">
        <f>SUM(I630:I632)</f>
        <v>60</v>
      </c>
      <c r="J633" s="257">
        <f>SUM(J630:J632)</f>
        <v>30040</v>
      </c>
      <c r="K633" s="317"/>
      <c r="L633" s="312">
        <f>SUM(L630:L632)</f>
        <v>29000</v>
      </c>
    </row>
    <row r="634" spans="1:12" ht="22.5" customHeight="1">
      <c r="B634" s="244"/>
      <c r="C634" s="80"/>
      <c r="D634" s="258"/>
      <c r="E634" s="259">
        <f>SUM(E619,E626,E628,E633)</f>
        <v>222850</v>
      </c>
      <c r="F634" s="260"/>
      <c r="G634" s="259">
        <f>SUM(G619,G626,G628,G633)</f>
        <v>45</v>
      </c>
      <c r="H634" s="259">
        <f>SUM(H619,H626,H628,H633)</f>
        <v>9000</v>
      </c>
      <c r="I634" s="318">
        <f>SUM(I619,I626,I628,I633)</f>
        <v>520</v>
      </c>
      <c r="J634" s="259">
        <f>SUM(J619,J626,J628,J633)</f>
        <v>231310</v>
      </c>
      <c r="K634" s="319"/>
      <c r="L634" s="291"/>
    </row>
    <row r="635" spans="1:12" ht="22.5" customHeight="1">
      <c r="A635" s="228" t="s">
        <v>123</v>
      </c>
      <c r="B635" s="261"/>
      <c r="C635" s="262"/>
      <c r="D635" s="15"/>
      <c r="E635" s="195"/>
      <c r="F635" s="263" t="s">
        <v>124</v>
      </c>
      <c r="G635" s="264"/>
      <c r="H635" s="195"/>
      <c r="I635" s="195"/>
      <c r="J635" s="230"/>
      <c r="K635" s="309"/>
      <c r="L635" s="284"/>
    </row>
    <row r="636" spans="1:12" ht="22.5" customHeight="1">
      <c r="A636" s="176" t="s">
        <v>125</v>
      </c>
      <c r="B636" s="199">
        <v>45699</v>
      </c>
      <c r="C636" s="265" t="s">
        <v>126</v>
      </c>
      <c r="D636" s="205" t="s">
        <v>982</v>
      </c>
      <c r="E636" s="202">
        <v>5000</v>
      </c>
      <c r="F636" s="266">
        <v>325</v>
      </c>
      <c r="G636" s="203">
        <v>2</v>
      </c>
      <c r="H636" s="266">
        <f t="shared" ref="H636:H637" si="159">SUM(G636*200)</f>
        <v>400</v>
      </c>
      <c r="I636" s="202">
        <v>20</v>
      </c>
      <c r="J636" s="282">
        <f>SUM(E636,F636,H636,I636)</f>
        <v>5745</v>
      </c>
      <c r="K636" s="319" t="s">
        <v>128</v>
      </c>
      <c r="L636" s="284">
        <v>5000</v>
      </c>
    </row>
    <row r="637" spans="1:12" ht="22.5" customHeight="1">
      <c r="A637" s="176" t="s">
        <v>129</v>
      </c>
      <c r="B637" s="199">
        <v>45714</v>
      </c>
      <c r="C637" s="265" t="s">
        <v>130</v>
      </c>
      <c r="D637" s="205" t="s">
        <v>983</v>
      </c>
      <c r="E637" s="206">
        <v>5500</v>
      </c>
      <c r="F637" s="195"/>
      <c r="G637" s="203">
        <v>1</v>
      </c>
      <c r="H637" s="266">
        <f t="shared" si="159"/>
        <v>200</v>
      </c>
      <c r="I637" s="206">
        <v>20</v>
      </c>
      <c r="J637" s="282">
        <f>SUM(E637,H637:I637)</f>
        <v>5720</v>
      </c>
      <c r="K637" s="319" t="s">
        <v>132</v>
      </c>
      <c r="L637" s="291">
        <v>5500</v>
      </c>
    </row>
    <row r="638" spans="1:12" ht="22.5" customHeight="1" thickBot="1">
      <c r="A638" s="267" t="s">
        <v>133</v>
      </c>
      <c r="B638" s="268"/>
      <c r="C638" s="269"/>
      <c r="D638" s="242"/>
      <c r="E638" s="270">
        <f>SUM(E636:E637)</f>
        <v>10500</v>
      </c>
      <c r="F638" s="226">
        <f t="shared" ref="F638:I638" si="160">SUM(F636:F637)</f>
        <v>325</v>
      </c>
      <c r="G638" s="243">
        <f t="shared" si="160"/>
        <v>3</v>
      </c>
      <c r="H638" s="226">
        <f t="shared" si="160"/>
        <v>600</v>
      </c>
      <c r="I638" s="320">
        <f t="shared" si="160"/>
        <v>40</v>
      </c>
      <c r="J638" s="321">
        <f>SUM(F638,H638,I638,)</f>
        <v>965</v>
      </c>
      <c r="K638" s="322"/>
      <c r="L638" s="323"/>
    </row>
    <row r="639" spans="1:12" ht="22.5" customHeight="1">
      <c r="E639" s="271" t="s">
        <v>134</v>
      </c>
      <c r="F639" s="272">
        <f>SUM(F634,F638)</f>
        <v>325</v>
      </c>
      <c r="H639" s="272">
        <f>SUM(H634,H638)</f>
        <v>9600</v>
      </c>
      <c r="I639" s="324">
        <f>SUM(I634,I638)</f>
        <v>560</v>
      </c>
      <c r="J639" s="325" t="s">
        <v>135</v>
      </c>
      <c r="L639" s="326"/>
    </row>
    <row r="640" spans="1:12" ht="22.5" customHeight="1">
      <c r="D640" s="326">
        <f>SUM(E140,E184,E229,E274,E319,E364,E409,E454,E499,E544,E589,E634)</f>
        <v>294100</v>
      </c>
      <c r="E640" s="326">
        <f>SUM(E125,E169,E214,E265,E304,E349,E394,E439,E484,E529,E574,E619)</f>
        <v>173250</v>
      </c>
    </row>
    <row r="641" spans="1:12" ht="22.5" customHeight="1"/>
    <row r="642" spans="1:12" ht="22.5" customHeight="1"/>
    <row r="643" spans="1:12" ht="22.5" customHeight="1" thickBot="1">
      <c r="A643" s="185" t="s">
        <v>8</v>
      </c>
      <c r="B643" s="186" t="s">
        <v>1042</v>
      </c>
      <c r="C643" s="187"/>
      <c r="D643" s="187"/>
      <c r="E643" s="187"/>
      <c r="F643" s="273"/>
      <c r="G643" s="189"/>
      <c r="H643" s="273"/>
      <c r="I643" s="187"/>
      <c r="J643" s="187"/>
      <c r="K643" s="187"/>
    </row>
    <row r="644" spans="1:12" ht="22.5" customHeight="1">
      <c r="A644" s="190" t="s">
        <v>10</v>
      </c>
      <c r="B644" s="191">
        <v>45748</v>
      </c>
      <c r="C644" s="192" t="s">
        <v>1086</v>
      </c>
      <c r="D644" s="193" t="s">
        <v>1043</v>
      </c>
      <c r="E644" s="194">
        <v>8000</v>
      </c>
      <c r="F644" s="195">
        <f>SUM(E644*0.5)</f>
        <v>4000</v>
      </c>
      <c r="G644" s="196">
        <v>1</v>
      </c>
      <c r="H644" s="197">
        <f t="shared" ref="H644:H646" si="161">SUM(G644*200)</f>
        <v>200</v>
      </c>
      <c r="I644" s="194">
        <v>20</v>
      </c>
      <c r="J644" s="279">
        <v>8220</v>
      </c>
      <c r="K644" s="280" t="s">
        <v>13</v>
      </c>
      <c r="L644" s="281">
        <v>8000</v>
      </c>
    </row>
    <row r="645" spans="1:12" ht="22.5" customHeight="1">
      <c r="A645" s="198" t="s">
        <v>14</v>
      </c>
      <c r="B645" s="199">
        <v>45745</v>
      </c>
      <c r="C645" s="200" t="s">
        <v>1075</v>
      </c>
      <c r="D645" s="201" t="s">
        <v>1044</v>
      </c>
      <c r="E645" s="202">
        <v>8500</v>
      </c>
      <c r="F645" s="195">
        <f>SUM(E645*0.5)</f>
        <v>4250</v>
      </c>
      <c r="G645" s="203">
        <v>3</v>
      </c>
      <c r="H645" s="197">
        <f t="shared" si="161"/>
        <v>600</v>
      </c>
      <c r="I645" s="206">
        <v>20</v>
      </c>
      <c r="J645" s="282">
        <v>8620</v>
      </c>
      <c r="K645" s="283" t="s">
        <v>314</v>
      </c>
      <c r="L645" s="284">
        <v>8500</v>
      </c>
    </row>
    <row r="646" spans="1:12" ht="22.5" customHeight="1">
      <c r="A646" s="190" t="s">
        <v>18</v>
      </c>
      <c r="B646" s="199">
        <v>45748</v>
      </c>
      <c r="C646" s="204" t="s">
        <v>1085</v>
      </c>
      <c r="D646" s="205" t="s">
        <v>1045</v>
      </c>
      <c r="E646" s="202">
        <v>8000</v>
      </c>
      <c r="F646" s="195">
        <f t="shared" ref="F646:F647" si="162">SUM(E646*0.5)</f>
        <v>4000</v>
      </c>
      <c r="G646" s="203">
        <v>1</v>
      </c>
      <c r="H646" s="197">
        <f t="shared" si="161"/>
        <v>200</v>
      </c>
      <c r="I646" s="206">
        <v>20</v>
      </c>
      <c r="J646" s="282">
        <f>SUM(E646,H646:I646)</f>
        <v>8220</v>
      </c>
      <c r="K646" s="288" t="s">
        <v>21</v>
      </c>
      <c r="L646" s="284">
        <v>8000</v>
      </c>
    </row>
    <row r="647" spans="1:12" ht="22.5" customHeight="1">
      <c r="A647" s="190" t="s">
        <v>22</v>
      </c>
      <c r="B647" s="199">
        <v>45727</v>
      </c>
      <c r="C647" s="26" t="s">
        <v>1068</v>
      </c>
      <c r="D647" s="205" t="s">
        <v>1046</v>
      </c>
      <c r="E647" s="206">
        <v>7250</v>
      </c>
      <c r="F647" s="195">
        <f t="shared" si="162"/>
        <v>3625</v>
      </c>
      <c r="G647" s="203">
        <v>1</v>
      </c>
      <c r="H647" s="197">
        <f t="shared" ref="H647" si="163">SUM(G647*200)</f>
        <v>200</v>
      </c>
      <c r="I647" s="206">
        <v>20</v>
      </c>
      <c r="J647" s="282">
        <f>SUM(E647,H647:I647)</f>
        <v>7470</v>
      </c>
      <c r="K647" s="290" t="s">
        <v>25</v>
      </c>
      <c r="L647" s="291">
        <v>5000</v>
      </c>
    </row>
    <row r="648" spans="1:12" ht="22.5" customHeight="1">
      <c r="A648" s="190" t="s">
        <v>26</v>
      </c>
      <c r="B648" s="199"/>
      <c r="C648" s="207" t="s">
        <v>162</v>
      </c>
      <c r="D648" s="208"/>
      <c r="E648" s="209"/>
      <c r="F648" s="195"/>
      <c r="G648" s="210"/>
      <c r="H648" s="197"/>
      <c r="I648" s="209"/>
      <c r="J648" s="254"/>
      <c r="K648" s="24"/>
    </row>
    <row r="649" spans="1:12" ht="22.5" customHeight="1">
      <c r="A649" s="190" t="s">
        <v>30</v>
      </c>
      <c r="B649" s="199">
        <v>45740</v>
      </c>
      <c r="C649" s="204" t="s">
        <v>1071</v>
      </c>
      <c r="D649" s="205" t="s">
        <v>1054</v>
      </c>
      <c r="E649" s="209">
        <v>6500</v>
      </c>
      <c r="F649" s="195">
        <v>3250</v>
      </c>
      <c r="G649" s="210">
        <v>0</v>
      </c>
      <c r="H649" s="197"/>
      <c r="I649" s="209"/>
      <c r="J649" s="254">
        <v>6500</v>
      </c>
      <c r="K649" s="294" t="s">
        <v>1070</v>
      </c>
      <c r="L649" s="287">
        <v>6500</v>
      </c>
    </row>
    <row r="650" spans="1:12" ht="22.5" customHeight="1">
      <c r="A650" s="190" t="s">
        <v>33</v>
      </c>
      <c r="B650" s="199">
        <v>45746</v>
      </c>
      <c r="C650" s="204" t="s">
        <v>1077</v>
      </c>
      <c r="D650" s="205" t="s">
        <v>1047</v>
      </c>
      <c r="E650" s="202">
        <v>6000</v>
      </c>
      <c r="F650" s="195">
        <f t="shared" ref="F650:F660" si="164">SUM(E650*0.5)</f>
        <v>3000</v>
      </c>
      <c r="G650" s="210">
        <v>1</v>
      </c>
      <c r="H650" s="197">
        <f t="shared" ref="H650:H660" si="165">SUM(G650*200)</f>
        <v>200</v>
      </c>
      <c r="I650" s="202">
        <v>20</v>
      </c>
      <c r="J650" s="197">
        <v>6220</v>
      </c>
      <c r="K650" s="288" t="s">
        <v>17</v>
      </c>
      <c r="L650" s="284">
        <v>6000</v>
      </c>
    </row>
    <row r="651" spans="1:12" ht="22.5" customHeight="1">
      <c r="A651" s="190" t="s">
        <v>35</v>
      </c>
      <c r="B651" s="199">
        <v>45720</v>
      </c>
      <c r="C651" s="211" t="s">
        <v>1063</v>
      </c>
      <c r="D651" s="177" t="s">
        <v>1048</v>
      </c>
      <c r="E651" s="212">
        <v>6000</v>
      </c>
      <c r="F651" s="195">
        <f t="shared" si="164"/>
        <v>3000</v>
      </c>
      <c r="G651" s="210">
        <v>1</v>
      </c>
      <c r="H651" s="197">
        <f t="shared" si="165"/>
        <v>200</v>
      </c>
      <c r="I651" s="206">
        <v>20</v>
      </c>
      <c r="J651" s="282">
        <v>6220</v>
      </c>
      <c r="K651" s="295" t="s">
        <v>38</v>
      </c>
      <c r="L651" s="284">
        <v>6000</v>
      </c>
    </row>
    <row r="652" spans="1:12" ht="22.5" customHeight="1">
      <c r="A652" s="213" t="s">
        <v>39</v>
      </c>
      <c r="B652" s="199">
        <v>45747</v>
      </c>
      <c r="C652" s="14" t="s">
        <v>1079</v>
      </c>
      <c r="D652" s="205" t="s">
        <v>1049</v>
      </c>
      <c r="E652" s="202">
        <v>8000</v>
      </c>
      <c r="F652" s="195">
        <f t="shared" si="164"/>
        <v>4000</v>
      </c>
      <c r="G652" s="203">
        <v>1</v>
      </c>
      <c r="H652" s="197">
        <f t="shared" si="165"/>
        <v>200</v>
      </c>
      <c r="I652" s="202">
        <v>20</v>
      </c>
      <c r="J652" s="282">
        <f>SUM(E652,H652:I652)</f>
        <v>8220</v>
      </c>
      <c r="K652" s="288" t="s">
        <v>42</v>
      </c>
      <c r="L652" s="284">
        <v>8000</v>
      </c>
    </row>
    <row r="653" spans="1:12" ht="22.5" customHeight="1">
      <c r="A653" s="213" t="s">
        <v>43</v>
      </c>
      <c r="B653" s="199">
        <v>45748</v>
      </c>
      <c r="C653" s="204" t="s">
        <v>1088</v>
      </c>
      <c r="D653" s="14" t="s">
        <v>1050</v>
      </c>
      <c r="E653" s="202">
        <v>8000</v>
      </c>
      <c r="F653" s="195">
        <f t="shared" si="164"/>
        <v>4000</v>
      </c>
      <c r="G653" s="203">
        <v>2</v>
      </c>
      <c r="H653" s="197">
        <f t="shared" si="165"/>
        <v>400</v>
      </c>
      <c r="I653" s="206">
        <v>20</v>
      </c>
      <c r="J653" s="282">
        <f>SUM(E653,H653:I653)</f>
        <v>8420</v>
      </c>
      <c r="K653" s="288" t="s">
        <v>46</v>
      </c>
      <c r="L653" s="284">
        <v>8000</v>
      </c>
    </row>
    <row r="654" spans="1:12" ht="22.5" customHeight="1">
      <c r="A654" s="213" t="s">
        <v>47</v>
      </c>
      <c r="B654" s="199">
        <v>45746</v>
      </c>
      <c r="C654" s="204" t="s">
        <v>1080</v>
      </c>
      <c r="D654" s="205" t="s">
        <v>1051</v>
      </c>
      <c r="E654" s="202">
        <v>8000</v>
      </c>
      <c r="F654" s="195">
        <f t="shared" si="164"/>
        <v>4000</v>
      </c>
      <c r="G654" s="203">
        <v>2</v>
      </c>
      <c r="H654" s="197">
        <f t="shared" si="165"/>
        <v>400</v>
      </c>
      <c r="I654" s="202">
        <v>20</v>
      </c>
      <c r="J654" s="282">
        <v>8600</v>
      </c>
      <c r="K654" s="288" t="s">
        <v>50</v>
      </c>
      <c r="L654" s="291">
        <v>8000</v>
      </c>
    </row>
    <row r="655" spans="1:12" ht="22.5" customHeight="1">
      <c r="A655" s="213" t="s">
        <v>51</v>
      </c>
      <c r="B655" s="199">
        <v>45746</v>
      </c>
      <c r="C655" s="204" t="s">
        <v>1078</v>
      </c>
      <c r="D655" s="205" t="s">
        <v>1047</v>
      </c>
      <c r="E655" s="212">
        <v>8500</v>
      </c>
      <c r="F655" s="195">
        <f t="shared" si="164"/>
        <v>4250</v>
      </c>
      <c r="G655" s="210">
        <v>2</v>
      </c>
      <c r="H655" s="197">
        <f t="shared" si="165"/>
        <v>400</v>
      </c>
      <c r="I655" s="212">
        <v>20</v>
      </c>
      <c r="J655" s="282">
        <v>8920</v>
      </c>
      <c r="K655" s="295" t="s">
        <v>577</v>
      </c>
      <c r="L655" s="284">
        <v>8500</v>
      </c>
    </row>
    <row r="656" spans="1:12" ht="22.5" customHeight="1">
      <c r="A656" s="213" t="s">
        <v>55</v>
      </c>
      <c r="B656" s="199">
        <v>45746</v>
      </c>
      <c r="C656" s="204" t="s">
        <v>1076</v>
      </c>
      <c r="D656" s="205" t="s">
        <v>1051</v>
      </c>
      <c r="E656" s="202">
        <v>7500</v>
      </c>
      <c r="F656" s="195">
        <f t="shared" si="164"/>
        <v>3750</v>
      </c>
      <c r="G656" s="203">
        <v>2</v>
      </c>
      <c r="H656" s="197">
        <f t="shared" si="165"/>
        <v>400</v>
      </c>
      <c r="I656" s="206">
        <v>20</v>
      </c>
      <c r="J656" s="282">
        <v>7920</v>
      </c>
      <c r="K656" s="288" t="s">
        <v>57</v>
      </c>
      <c r="L656" s="284">
        <v>7500</v>
      </c>
    </row>
    <row r="657" spans="1:12" ht="22.5" customHeight="1">
      <c r="A657" s="213" t="s">
        <v>58</v>
      </c>
      <c r="B657" s="199">
        <v>45748</v>
      </c>
      <c r="C657" s="204" t="s">
        <v>1087</v>
      </c>
      <c r="D657" s="205" t="s">
        <v>1046</v>
      </c>
      <c r="E657" s="202">
        <v>6500</v>
      </c>
      <c r="F657" s="195">
        <f t="shared" si="164"/>
        <v>3250</v>
      </c>
      <c r="G657" s="203">
        <v>1</v>
      </c>
      <c r="H657" s="197">
        <f t="shared" si="165"/>
        <v>200</v>
      </c>
      <c r="I657" s="206">
        <v>20</v>
      </c>
      <c r="J657" s="254">
        <v>6620</v>
      </c>
      <c r="K657" s="296" t="s">
        <v>378</v>
      </c>
      <c r="L657" s="284">
        <v>6500</v>
      </c>
    </row>
    <row r="658" spans="1:12" ht="22.5" customHeight="1">
      <c r="A658" s="213" t="s">
        <v>60</v>
      </c>
      <c r="B658" s="199">
        <v>45737</v>
      </c>
      <c r="C658" s="204" t="s">
        <v>1069</v>
      </c>
      <c r="D658" s="205" t="s">
        <v>1046</v>
      </c>
      <c r="E658" s="202">
        <v>6500</v>
      </c>
      <c r="F658" s="195">
        <f t="shared" si="164"/>
        <v>3250</v>
      </c>
      <c r="G658" s="203">
        <v>2</v>
      </c>
      <c r="H658" s="197">
        <f t="shared" si="165"/>
        <v>400</v>
      </c>
      <c r="I658" s="206">
        <v>20</v>
      </c>
      <c r="J658" s="282">
        <v>6920</v>
      </c>
      <c r="K658" s="288" t="s">
        <v>506</v>
      </c>
      <c r="L658" s="284">
        <v>6500</v>
      </c>
    </row>
    <row r="659" spans="1:12" ht="22.5" customHeight="1">
      <c r="A659" s="214" t="s">
        <v>63</v>
      </c>
      <c r="B659" s="199">
        <v>45763</v>
      </c>
      <c r="C659" s="204" t="s">
        <v>1113</v>
      </c>
      <c r="D659" s="205" t="s">
        <v>1052</v>
      </c>
      <c r="E659" s="206">
        <v>9000</v>
      </c>
      <c r="F659" s="195">
        <f t="shared" si="164"/>
        <v>4500</v>
      </c>
      <c r="G659" s="203">
        <v>2</v>
      </c>
      <c r="H659" s="197">
        <f t="shared" si="165"/>
        <v>400</v>
      </c>
      <c r="I659" s="206">
        <v>20</v>
      </c>
      <c r="J659" s="282">
        <v>9420</v>
      </c>
      <c r="K659" s="288" t="s">
        <v>584</v>
      </c>
      <c r="L659" s="291">
        <v>9000</v>
      </c>
    </row>
    <row r="660" spans="1:12" ht="22.5" customHeight="1">
      <c r="A660" s="214" t="s">
        <v>67</v>
      </c>
      <c r="B660" s="199">
        <v>45742</v>
      </c>
      <c r="C660" s="204" t="s">
        <v>1072</v>
      </c>
      <c r="D660" s="205" t="s">
        <v>1073</v>
      </c>
      <c r="E660" s="206">
        <v>8500</v>
      </c>
      <c r="F660" s="195">
        <f t="shared" si="164"/>
        <v>4250</v>
      </c>
      <c r="G660" s="203">
        <v>0</v>
      </c>
      <c r="H660" s="197">
        <f t="shared" si="165"/>
        <v>0</v>
      </c>
      <c r="I660" s="206"/>
      <c r="J660" s="282">
        <v>8500</v>
      </c>
      <c r="K660" s="295" t="s">
        <v>1074</v>
      </c>
      <c r="L660" s="284">
        <v>8500</v>
      </c>
    </row>
    <row r="661" spans="1:12" ht="22.5" customHeight="1">
      <c r="A661" s="214" t="s">
        <v>71</v>
      </c>
      <c r="B661" s="199">
        <v>45747</v>
      </c>
      <c r="C661" s="204" t="s">
        <v>1082</v>
      </c>
      <c r="D661" s="205" t="s">
        <v>1053</v>
      </c>
      <c r="E661" s="206">
        <v>8500</v>
      </c>
      <c r="F661" s="195">
        <f t="shared" ref="F661:F665" si="166">SUM(E661*0.5)</f>
        <v>4250</v>
      </c>
      <c r="G661" s="203">
        <v>2</v>
      </c>
      <c r="H661" s="197">
        <f t="shared" ref="H661:H665" si="167">SUM(G661*200)</f>
        <v>400</v>
      </c>
      <c r="I661" s="206">
        <v>20</v>
      </c>
      <c r="J661" s="282">
        <v>8920</v>
      </c>
      <c r="K661" s="288" t="s">
        <v>383</v>
      </c>
      <c r="L661" s="291">
        <v>8500</v>
      </c>
    </row>
    <row r="662" spans="1:12" ht="22.5" customHeight="1">
      <c r="A662" s="214" t="s">
        <v>74</v>
      </c>
      <c r="B662" s="199">
        <v>45748</v>
      </c>
      <c r="C662" s="204" t="s">
        <v>1084</v>
      </c>
      <c r="D662" s="205" t="s">
        <v>1047</v>
      </c>
      <c r="E662" s="206">
        <v>8000</v>
      </c>
      <c r="F662" s="195">
        <f t="shared" si="166"/>
        <v>4000</v>
      </c>
      <c r="G662" s="203">
        <v>2</v>
      </c>
      <c r="H662" s="197">
        <f t="shared" si="167"/>
        <v>400</v>
      </c>
      <c r="I662" s="206">
        <v>20</v>
      </c>
      <c r="J662" s="282">
        <f>SUM(E662,H662:I662)</f>
        <v>8420</v>
      </c>
      <c r="K662" s="288" t="s">
        <v>76</v>
      </c>
      <c r="L662" s="291">
        <v>8000</v>
      </c>
    </row>
    <row r="663" spans="1:12" ht="22.5" customHeight="1">
      <c r="A663" s="214" t="s">
        <v>77</v>
      </c>
      <c r="B663" s="199">
        <v>45727</v>
      </c>
      <c r="C663" s="207" t="s">
        <v>1067</v>
      </c>
      <c r="D663" s="205" t="s">
        <v>1054</v>
      </c>
      <c r="E663" s="206">
        <v>8000</v>
      </c>
      <c r="F663" s="195">
        <f t="shared" si="166"/>
        <v>4000</v>
      </c>
      <c r="G663" s="203">
        <v>2</v>
      </c>
      <c r="H663" s="197">
        <f t="shared" si="167"/>
        <v>400</v>
      </c>
      <c r="I663" s="206">
        <v>20</v>
      </c>
      <c r="J663" s="282">
        <f>SUM(E663,H663:I663)</f>
        <v>8420</v>
      </c>
      <c r="K663" s="288" t="s">
        <v>340</v>
      </c>
      <c r="L663" s="291">
        <v>8000</v>
      </c>
    </row>
    <row r="664" spans="1:12" ht="22.5" customHeight="1">
      <c r="A664" s="214" t="s">
        <v>81</v>
      </c>
      <c r="B664" s="199">
        <v>45747</v>
      </c>
      <c r="C664" s="207" t="s">
        <v>1081</v>
      </c>
      <c r="D664" s="177" t="s">
        <v>1055</v>
      </c>
      <c r="E664" s="209">
        <v>6000</v>
      </c>
      <c r="F664" s="195">
        <f t="shared" si="166"/>
        <v>3000</v>
      </c>
      <c r="G664" s="210">
        <v>1</v>
      </c>
      <c r="H664" s="197">
        <f t="shared" si="167"/>
        <v>200</v>
      </c>
      <c r="I664" s="206">
        <v>20</v>
      </c>
      <c r="J664" s="282">
        <v>6220</v>
      </c>
      <c r="K664" s="295" t="s">
        <v>83</v>
      </c>
      <c r="L664" s="291">
        <v>6000</v>
      </c>
    </row>
    <row r="665" spans="1:12" ht="22.5" customHeight="1">
      <c r="A665" s="215" t="s">
        <v>84</v>
      </c>
      <c r="B665" s="216">
        <v>45747</v>
      </c>
      <c r="C665" s="217" t="s">
        <v>1083</v>
      </c>
      <c r="D665" s="218" t="s">
        <v>1053</v>
      </c>
      <c r="E665" s="219">
        <v>6500</v>
      </c>
      <c r="F665" s="195">
        <f t="shared" si="166"/>
        <v>3250</v>
      </c>
      <c r="G665" s="220">
        <v>1</v>
      </c>
      <c r="H665" s="197">
        <f t="shared" si="167"/>
        <v>200</v>
      </c>
      <c r="I665" s="219">
        <v>20</v>
      </c>
      <c r="J665" s="303">
        <v>6720</v>
      </c>
      <c r="K665" s="304" t="s">
        <v>390</v>
      </c>
      <c r="L665" s="305">
        <v>6000</v>
      </c>
    </row>
    <row r="666" spans="1:12" ht="22.5" customHeight="1" thickBot="1">
      <c r="A666" s="221"/>
      <c r="B666" s="222"/>
      <c r="C666" s="223"/>
      <c r="D666" s="224"/>
      <c r="E666" s="225">
        <f>SUM(E644:E665)</f>
        <v>157750</v>
      </c>
      <c r="F666" s="226">
        <f>SUM(F644:F665)</f>
        <v>78875</v>
      </c>
      <c r="G666" s="225">
        <f t="shared" ref="G666:J666" si="168">SUM(G644:G665)</f>
        <v>30</v>
      </c>
      <c r="H666" s="227">
        <f t="shared" si="168"/>
        <v>6000</v>
      </c>
      <c r="I666" s="225">
        <f t="shared" si="168"/>
        <v>380</v>
      </c>
      <c r="J666" s="227">
        <f t="shared" si="168"/>
        <v>163710</v>
      </c>
      <c r="K666" s="306"/>
      <c r="L666" s="307">
        <f>SUM(L644:L665)</f>
        <v>155000</v>
      </c>
    </row>
    <row r="667" spans="1:12" ht="22.5" customHeight="1">
      <c r="A667" s="228" t="s">
        <v>88</v>
      </c>
      <c r="B667" s="229"/>
      <c r="C667" s="230"/>
      <c r="D667" s="205"/>
      <c r="E667" s="195"/>
      <c r="F667" s="195"/>
      <c r="G667" s="231"/>
      <c r="H667" s="195"/>
      <c r="I667" s="195"/>
      <c r="J667" s="230"/>
      <c r="K667" s="309"/>
      <c r="L667" s="291"/>
    </row>
    <row r="668" spans="1:12" ht="22.5" customHeight="1">
      <c r="A668" s="176" t="s">
        <v>89</v>
      </c>
      <c r="B668" s="199">
        <v>45727</v>
      </c>
      <c r="C668" s="204" t="s">
        <v>90</v>
      </c>
      <c r="D668" s="205" t="s">
        <v>1056</v>
      </c>
      <c r="E668" s="206">
        <v>10000</v>
      </c>
      <c r="F668" s="195"/>
      <c r="G668" s="232">
        <v>2</v>
      </c>
      <c r="H668" s="197">
        <f t="shared" ref="H668:H672" si="169">SUM(G668*200)</f>
        <v>400</v>
      </c>
      <c r="I668" s="206">
        <v>20</v>
      </c>
      <c r="J668" s="282">
        <v>10420</v>
      </c>
      <c r="K668" s="288" t="s">
        <v>92</v>
      </c>
      <c r="L668" s="291">
        <v>10000</v>
      </c>
    </row>
    <row r="669" spans="1:12" ht="22.5" customHeight="1">
      <c r="A669" s="176" t="s">
        <v>93</v>
      </c>
      <c r="B669" s="199">
        <v>45735</v>
      </c>
      <c r="C669" s="207" t="s">
        <v>94</v>
      </c>
      <c r="D669" s="177" t="s">
        <v>1057</v>
      </c>
      <c r="E669" s="212">
        <v>10000</v>
      </c>
      <c r="F669" s="233"/>
      <c r="G669" s="210">
        <v>2</v>
      </c>
      <c r="H669" s="197">
        <f t="shared" si="169"/>
        <v>400</v>
      </c>
      <c r="I669" s="202">
        <v>20</v>
      </c>
      <c r="J669" s="282">
        <v>10420</v>
      </c>
      <c r="K669" s="310" t="s">
        <v>96</v>
      </c>
      <c r="L669" s="284">
        <v>6000</v>
      </c>
    </row>
    <row r="670" spans="1:12" ht="22.5" customHeight="1">
      <c r="A670" s="176" t="s">
        <v>97</v>
      </c>
      <c r="B670" s="199">
        <v>45734</v>
      </c>
      <c r="C670" s="204" t="s">
        <v>98</v>
      </c>
      <c r="D670" s="205" t="s">
        <v>1048</v>
      </c>
      <c r="E670" s="234">
        <v>12000</v>
      </c>
      <c r="F670" s="235"/>
      <c r="G670" s="232">
        <v>2</v>
      </c>
      <c r="H670" s="197">
        <f t="shared" si="169"/>
        <v>400</v>
      </c>
      <c r="I670" s="206">
        <v>20</v>
      </c>
      <c r="J670" s="282">
        <v>12400</v>
      </c>
      <c r="K670" s="288" t="s">
        <v>99</v>
      </c>
      <c r="L670" s="291">
        <v>12000</v>
      </c>
    </row>
    <row r="671" spans="1:12" ht="22.5" customHeight="1">
      <c r="A671" s="176" t="s">
        <v>100</v>
      </c>
      <c r="B671" s="199">
        <v>45734</v>
      </c>
      <c r="C671" s="236" t="s">
        <v>474</v>
      </c>
      <c r="D671" s="205" t="s">
        <v>1058</v>
      </c>
      <c r="E671" s="206">
        <v>12000</v>
      </c>
      <c r="F671" s="195"/>
      <c r="G671" s="232">
        <v>4</v>
      </c>
      <c r="H671" s="197">
        <f t="shared" si="169"/>
        <v>800</v>
      </c>
      <c r="I671" s="206">
        <v>20</v>
      </c>
      <c r="J671" s="282">
        <v>12820</v>
      </c>
      <c r="K671" s="311" t="s">
        <v>519</v>
      </c>
      <c r="L671" s="291">
        <v>12000</v>
      </c>
    </row>
    <row r="672" spans="1:12" ht="22.5" customHeight="1">
      <c r="A672" s="176" t="s">
        <v>104</v>
      </c>
      <c r="B672" s="339">
        <v>45749</v>
      </c>
      <c r="C672" s="237" t="s">
        <v>105</v>
      </c>
      <c r="D672" s="205" t="s">
        <v>1059</v>
      </c>
      <c r="E672" s="206">
        <v>12000</v>
      </c>
      <c r="F672" s="195"/>
      <c r="G672" s="238">
        <v>3</v>
      </c>
      <c r="H672" s="197">
        <f t="shared" si="169"/>
        <v>600</v>
      </c>
      <c r="I672" s="219">
        <v>20</v>
      </c>
      <c r="J672" s="282">
        <v>12620</v>
      </c>
      <c r="K672" s="311" t="s">
        <v>107</v>
      </c>
      <c r="L672" s="291">
        <v>12000</v>
      </c>
    </row>
    <row r="673" spans="1:12" ht="22.5" customHeight="1" thickBot="1">
      <c r="A673" s="239"/>
      <c r="B673" s="240"/>
      <c r="C673" s="241" t="s">
        <v>108</v>
      </c>
      <c r="D673" s="242"/>
      <c r="E673" s="243">
        <f>SUM(E668:E671)</f>
        <v>44000</v>
      </c>
      <c r="F673" s="226"/>
      <c r="G673" s="226">
        <f>SUM(G668:G671)</f>
        <v>10</v>
      </c>
      <c r="H673" s="226">
        <f>SUM(H668:H671)</f>
        <v>2000</v>
      </c>
      <c r="I673" s="243">
        <f>SUM(I668:I671)</f>
        <v>80</v>
      </c>
      <c r="J673" s="226">
        <f>SUM(J668:J671)</f>
        <v>46060</v>
      </c>
      <c r="K673" s="306"/>
      <c r="L673" s="312">
        <f>SUM(L668:L672)</f>
        <v>52000</v>
      </c>
    </row>
    <row r="674" spans="1:12" ht="22.5" customHeight="1">
      <c r="A674" s="228" t="s">
        <v>109</v>
      </c>
      <c r="B674" s="244"/>
      <c r="C674" s="245"/>
      <c r="D674" s="205"/>
      <c r="E674" s="195"/>
      <c r="F674" s="195"/>
      <c r="G674" s="231"/>
      <c r="H674" s="195"/>
      <c r="I674" s="195"/>
      <c r="J674" s="195"/>
      <c r="K674" s="309"/>
      <c r="L674" s="313"/>
    </row>
    <row r="675" spans="1:12" ht="22.5" customHeight="1" thickBot="1">
      <c r="A675" s="246" t="s">
        <v>110</v>
      </c>
      <c r="B675" s="247"/>
      <c r="C675" s="248" t="s">
        <v>111</v>
      </c>
      <c r="D675" s="242"/>
      <c r="E675" s="243"/>
      <c r="F675" s="226"/>
      <c r="G675" s="249"/>
      <c r="H675" s="226"/>
      <c r="I675" s="243"/>
      <c r="J675" s="226"/>
      <c r="K675" s="306"/>
      <c r="L675" s="312"/>
    </row>
    <row r="676" spans="1:12" ht="22.5" customHeight="1">
      <c r="A676" s="228" t="s">
        <v>112</v>
      </c>
      <c r="B676" s="250"/>
      <c r="C676" s="245"/>
      <c r="D676" s="205"/>
      <c r="E676" s="195"/>
      <c r="F676" s="195"/>
      <c r="G676" s="231"/>
      <c r="H676" s="195"/>
      <c r="I676" s="195"/>
      <c r="J676" s="195"/>
      <c r="K676" s="309"/>
      <c r="L676" s="313"/>
    </row>
    <row r="677" spans="1:12" ht="22.5" customHeight="1">
      <c r="A677" s="176" t="s">
        <v>113</v>
      </c>
      <c r="B677" s="199">
        <v>45727</v>
      </c>
      <c r="C677" s="251" t="s">
        <v>114</v>
      </c>
      <c r="D677" s="177" t="s">
        <v>1054</v>
      </c>
      <c r="E677" s="206">
        <v>12600</v>
      </c>
      <c r="F677" s="230"/>
      <c r="G677" s="209">
        <v>2</v>
      </c>
      <c r="H677" s="197">
        <f t="shared" ref="H677:H679" si="170">SUM(G677*200)</f>
        <v>400</v>
      </c>
      <c r="I677" s="314">
        <v>20</v>
      </c>
      <c r="J677" s="282">
        <v>12400</v>
      </c>
      <c r="K677" s="295" t="s">
        <v>115</v>
      </c>
      <c r="L677" s="291">
        <v>12000</v>
      </c>
    </row>
    <row r="678" spans="1:12" ht="22.5" customHeight="1">
      <c r="A678" s="176" t="s">
        <v>116</v>
      </c>
      <c r="B678" s="199">
        <v>45717</v>
      </c>
      <c r="C678" s="252" t="s">
        <v>117</v>
      </c>
      <c r="D678" s="205" t="s">
        <v>1060</v>
      </c>
      <c r="E678" s="206">
        <v>7000</v>
      </c>
      <c r="F678" s="195"/>
      <c r="G678" s="209">
        <v>1</v>
      </c>
      <c r="H678" s="197">
        <f t="shared" si="170"/>
        <v>200</v>
      </c>
      <c r="I678" s="314">
        <v>20</v>
      </c>
      <c r="J678" s="282">
        <v>7220</v>
      </c>
      <c r="K678" s="288" t="s">
        <v>119</v>
      </c>
      <c r="L678" s="291">
        <v>7000</v>
      </c>
    </row>
    <row r="679" spans="1:12" ht="22.5" customHeight="1">
      <c r="A679" s="176" t="s">
        <v>120</v>
      </c>
      <c r="B679" s="199">
        <v>45733</v>
      </c>
      <c r="C679" s="253" t="s">
        <v>121</v>
      </c>
      <c r="D679" s="177" t="s">
        <v>1047</v>
      </c>
      <c r="E679" s="209">
        <v>10000</v>
      </c>
      <c r="F679" s="254"/>
      <c r="G679" s="209">
        <v>2</v>
      </c>
      <c r="H679" s="197">
        <f t="shared" si="170"/>
        <v>400</v>
      </c>
      <c r="I679" s="315">
        <v>20</v>
      </c>
      <c r="J679" s="254">
        <v>10420</v>
      </c>
      <c r="K679" s="316" t="s">
        <v>122</v>
      </c>
      <c r="L679" s="291">
        <v>10000</v>
      </c>
    </row>
    <row r="680" spans="1:12" ht="22.5" customHeight="1" thickBot="1">
      <c r="A680" s="246"/>
      <c r="B680" s="247"/>
      <c r="C680" s="255"/>
      <c r="D680" s="242"/>
      <c r="E680" s="256">
        <f>SUM(E677:E679)</f>
        <v>29600</v>
      </c>
      <c r="F680" s="257"/>
      <c r="G680" s="256">
        <f>SUM(G677:G679)</f>
        <v>5</v>
      </c>
      <c r="H680" s="257">
        <f>SUM(H677:H679)</f>
        <v>1000</v>
      </c>
      <c r="I680" s="257">
        <f>SUM(I677:I679)</f>
        <v>60</v>
      </c>
      <c r="J680" s="257">
        <f>SUM(J677:J679)</f>
        <v>30040</v>
      </c>
      <c r="K680" s="317"/>
      <c r="L680" s="312">
        <f>SUM(L677:L679)</f>
        <v>29000</v>
      </c>
    </row>
    <row r="681" spans="1:12" ht="22.5" customHeight="1">
      <c r="B681" s="244"/>
      <c r="C681" s="80"/>
      <c r="D681" s="258"/>
      <c r="E681" s="259">
        <f>SUM(E666,E673,E675,E680)</f>
        <v>231350</v>
      </c>
      <c r="F681" s="260"/>
      <c r="G681" s="259">
        <f>SUM(G666,G673,G675,G680)</f>
        <v>45</v>
      </c>
      <c r="H681" s="259">
        <f>SUM(H666,H673,H675,H680)</f>
        <v>9000</v>
      </c>
      <c r="I681" s="318">
        <f>SUM(I666,I673,I675,I680)</f>
        <v>520</v>
      </c>
      <c r="J681" s="259">
        <f>SUM(J666,J673,J675,J680)</f>
        <v>239810</v>
      </c>
      <c r="K681" s="319"/>
      <c r="L681" s="291"/>
    </row>
    <row r="682" spans="1:12" ht="22.5" customHeight="1">
      <c r="A682" s="228" t="s">
        <v>123</v>
      </c>
      <c r="B682" s="261"/>
      <c r="C682" s="262"/>
      <c r="D682" s="15"/>
      <c r="E682" s="195"/>
      <c r="F682" s="263" t="s">
        <v>124</v>
      </c>
      <c r="G682" s="264"/>
      <c r="H682" s="195"/>
      <c r="I682" s="195"/>
      <c r="J682" s="230"/>
      <c r="K682" s="309"/>
      <c r="L682" s="284"/>
    </row>
    <row r="683" spans="1:12" ht="22.5" customHeight="1">
      <c r="A683" s="176" t="s">
        <v>125</v>
      </c>
      <c r="B683" s="199">
        <v>45727</v>
      </c>
      <c r="C683" s="265" t="s">
        <v>126</v>
      </c>
      <c r="D683" s="205" t="s">
        <v>1061</v>
      </c>
      <c r="E683" s="202">
        <v>5000</v>
      </c>
      <c r="F683" s="266">
        <v>325</v>
      </c>
      <c r="G683" s="203">
        <v>2</v>
      </c>
      <c r="H683" s="266">
        <f t="shared" ref="H683:H684" si="171">SUM(G683*200)</f>
        <v>400</v>
      </c>
      <c r="I683" s="202">
        <v>20</v>
      </c>
      <c r="J683" s="282">
        <f>SUM(E683,F683,H683,I683)</f>
        <v>5745</v>
      </c>
      <c r="K683" s="319" t="s">
        <v>128</v>
      </c>
      <c r="L683" s="284">
        <v>5000</v>
      </c>
    </row>
    <row r="684" spans="1:12" ht="22.5" customHeight="1">
      <c r="A684" s="176" t="s">
        <v>129</v>
      </c>
      <c r="B684" s="199">
        <v>45746</v>
      </c>
      <c r="C684" s="265" t="s">
        <v>130</v>
      </c>
      <c r="D684" s="205" t="s">
        <v>1062</v>
      </c>
      <c r="E684" s="206">
        <v>5500</v>
      </c>
      <c r="F684" s="195"/>
      <c r="G684" s="203">
        <v>1</v>
      </c>
      <c r="H684" s="266">
        <f t="shared" si="171"/>
        <v>200</v>
      </c>
      <c r="I684" s="206">
        <v>20</v>
      </c>
      <c r="J684" s="282">
        <f>SUM(E684,H684:I684)</f>
        <v>5720</v>
      </c>
      <c r="K684" s="319" t="s">
        <v>132</v>
      </c>
      <c r="L684" s="291">
        <v>5500</v>
      </c>
    </row>
    <row r="685" spans="1:12" ht="22.5" customHeight="1" thickBot="1">
      <c r="A685" s="267" t="s">
        <v>133</v>
      </c>
      <c r="B685" s="268"/>
      <c r="C685" s="269"/>
      <c r="D685" s="242"/>
      <c r="E685" s="270">
        <f>SUM(E683:E684)</f>
        <v>10500</v>
      </c>
      <c r="F685" s="226">
        <f t="shared" ref="F685:I685" si="172">SUM(F683:F684)</f>
        <v>325</v>
      </c>
      <c r="G685" s="243">
        <f t="shared" si="172"/>
        <v>3</v>
      </c>
      <c r="H685" s="226">
        <f t="shared" si="172"/>
        <v>600</v>
      </c>
      <c r="I685" s="320">
        <f t="shared" si="172"/>
        <v>40</v>
      </c>
      <c r="J685" s="321">
        <f>SUM(F685,H685,I685,)</f>
        <v>965</v>
      </c>
      <c r="K685" s="322"/>
      <c r="L685" s="284"/>
    </row>
    <row r="686" spans="1:12" ht="22.5" customHeight="1">
      <c r="E686" s="271" t="s">
        <v>134</v>
      </c>
      <c r="F686" s="272">
        <f>SUM(F681,F685)</f>
        <v>325</v>
      </c>
      <c r="H686" s="272">
        <f>SUM(H681,H685)</f>
        <v>9600</v>
      </c>
      <c r="I686" s="324">
        <f>SUM(I681,I685)</f>
        <v>560</v>
      </c>
      <c r="J686" s="325" t="s">
        <v>135</v>
      </c>
      <c r="L686" s="284"/>
    </row>
    <row r="687" spans="1:12" ht="22.5" customHeight="1">
      <c r="D687" s="326">
        <f>SUM(E187,E231,E276,E321,E366,E411,E456,E501,E546,E591,E636,E681)</f>
        <v>260350</v>
      </c>
      <c r="E687" s="326">
        <f>SUM(E172,E216,E261,E312,E351,E396,E441,E486,E531,E576,E621,E666)</f>
        <v>276250</v>
      </c>
      <c r="L687" s="291"/>
    </row>
    <row r="688" spans="1:12" ht="22.5" customHeight="1"/>
    <row r="689" spans="1:12" ht="22.5" customHeight="1"/>
    <row r="690" spans="1:12" ht="22.5" customHeight="1" thickBot="1">
      <c r="A690" s="185" t="s">
        <v>8</v>
      </c>
      <c r="B690" s="348" t="s">
        <v>1093</v>
      </c>
      <c r="C690" s="187"/>
      <c r="D690" s="187"/>
      <c r="E690" s="187"/>
      <c r="F690" s="273"/>
      <c r="G690" s="189"/>
      <c r="H690" s="273"/>
      <c r="I690" s="187"/>
      <c r="J690" s="187"/>
      <c r="K690" s="187"/>
    </row>
    <row r="691" spans="1:12" ht="22.5" customHeight="1">
      <c r="A691" s="190" t="s">
        <v>10</v>
      </c>
      <c r="B691" s="191">
        <v>45779</v>
      </c>
      <c r="C691" s="192" t="s">
        <v>1129</v>
      </c>
      <c r="D691" s="193" t="s">
        <v>1092</v>
      </c>
      <c r="E691" s="194">
        <v>8000</v>
      </c>
      <c r="F691" s="195">
        <f>SUM(E691*0.5)</f>
        <v>4000</v>
      </c>
      <c r="G691" s="196">
        <v>1</v>
      </c>
      <c r="H691" s="197">
        <f t="shared" ref="H691:H693" si="173">SUM(G691*200)</f>
        <v>200</v>
      </c>
      <c r="I691" s="194">
        <v>20</v>
      </c>
      <c r="J691" s="279">
        <v>8220</v>
      </c>
      <c r="K691" s="280" t="s">
        <v>13</v>
      </c>
      <c r="L691" s="281">
        <v>8000</v>
      </c>
    </row>
    <row r="692" spans="1:12" ht="22.5" customHeight="1">
      <c r="A692" s="198" t="s">
        <v>14</v>
      </c>
      <c r="B692" s="199">
        <v>45776</v>
      </c>
      <c r="C692" s="200" t="s">
        <v>1118</v>
      </c>
      <c r="D692" s="201" t="s">
        <v>1094</v>
      </c>
      <c r="E692" s="202">
        <v>8500</v>
      </c>
      <c r="F692" s="195">
        <f>SUM(E692*0.5)</f>
        <v>4250</v>
      </c>
      <c r="G692" s="203">
        <v>3</v>
      </c>
      <c r="H692" s="197">
        <f t="shared" si="173"/>
        <v>600</v>
      </c>
      <c r="I692" s="206">
        <v>20</v>
      </c>
      <c r="J692" s="282">
        <v>8620</v>
      </c>
      <c r="K692" s="283" t="s">
        <v>314</v>
      </c>
      <c r="L692" s="284">
        <v>8500</v>
      </c>
    </row>
    <row r="693" spans="1:12" ht="22.5" customHeight="1">
      <c r="A693" s="190" t="s">
        <v>18</v>
      </c>
      <c r="B693" s="199">
        <v>45776</v>
      </c>
      <c r="C693" s="204" t="s">
        <v>1120</v>
      </c>
      <c r="D693" s="205" t="s">
        <v>1095</v>
      </c>
      <c r="E693" s="202">
        <v>8000</v>
      </c>
      <c r="F693" s="195">
        <f t="shared" ref="F693:F694" si="174">SUM(E693*0.5)</f>
        <v>4000</v>
      </c>
      <c r="G693" s="203">
        <v>1</v>
      </c>
      <c r="H693" s="197">
        <f t="shared" si="173"/>
        <v>200</v>
      </c>
      <c r="I693" s="206">
        <v>20</v>
      </c>
      <c r="J693" s="282">
        <f>SUM(E693,H693:I693)</f>
        <v>8220</v>
      </c>
      <c r="K693" s="288" t="s">
        <v>21</v>
      </c>
      <c r="L693" s="284">
        <v>8000</v>
      </c>
    </row>
    <row r="694" spans="1:12" ht="22.5" customHeight="1">
      <c r="A694" s="190" t="s">
        <v>22</v>
      </c>
      <c r="B694" s="199">
        <v>45776</v>
      </c>
      <c r="C694" s="26" t="s">
        <v>1119</v>
      </c>
      <c r="D694" s="205" t="s">
        <v>1096</v>
      </c>
      <c r="E694" s="206">
        <v>7250</v>
      </c>
      <c r="F694" s="195">
        <f t="shared" si="174"/>
        <v>3625</v>
      </c>
      <c r="G694" s="203">
        <v>1</v>
      </c>
      <c r="H694" s="197">
        <f t="shared" ref="H694" si="175">SUM(G694*200)</f>
        <v>200</v>
      </c>
      <c r="I694" s="206">
        <v>20</v>
      </c>
      <c r="J694" s="282">
        <f>SUM(E694,H694:I694)</f>
        <v>7470</v>
      </c>
      <c r="K694" s="290" t="s">
        <v>25</v>
      </c>
      <c r="L694" s="291">
        <v>5000</v>
      </c>
    </row>
    <row r="695" spans="1:12" ht="22.5" customHeight="1">
      <c r="A695" s="190" t="s">
        <v>26</v>
      </c>
      <c r="B695" s="199"/>
      <c r="C695" s="207" t="s">
        <v>162</v>
      </c>
      <c r="D695" s="208"/>
      <c r="E695" s="209"/>
      <c r="F695" s="195"/>
      <c r="G695" s="210"/>
      <c r="H695" s="197"/>
      <c r="I695" s="209"/>
      <c r="J695" s="254"/>
      <c r="K695" s="24"/>
    </row>
    <row r="696" spans="1:12" ht="22.5" customHeight="1">
      <c r="A696" s="190" t="s">
        <v>30</v>
      </c>
      <c r="B696" s="199">
        <v>45817</v>
      </c>
      <c r="C696" s="204" t="s">
        <v>1239</v>
      </c>
      <c r="D696" s="205" t="s">
        <v>1097</v>
      </c>
      <c r="E696" s="209">
        <v>6500</v>
      </c>
      <c r="F696" s="195">
        <v>3250</v>
      </c>
      <c r="G696" s="210">
        <v>0</v>
      </c>
      <c r="H696" s="197"/>
      <c r="I696" s="209"/>
      <c r="J696" s="254">
        <v>6500</v>
      </c>
      <c r="K696" s="294" t="s">
        <v>1070</v>
      </c>
      <c r="L696" s="287">
        <v>6500</v>
      </c>
    </row>
    <row r="697" spans="1:12" ht="22.5" customHeight="1">
      <c r="A697" s="190" t="s">
        <v>33</v>
      </c>
      <c r="B697" s="199">
        <v>45775</v>
      </c>
      <c r="C697" s="204" t="s">
        <v>1116</v>
      </c>
      <c r="D697" s="205" t="s">
        <v>1098</v>
      </c>
      <c r="E697" s="202">
        <v>6000</v>
      </c>
      <c r="F697" s="195">
        <f t="shared" ref="F697:F712" si="176">SUM(E697*0.5)</f>
        <v>3000</v>
      </c>
      <c r="G697" s="210">
        <v>1</v>
      </c>
      <c r="H697" s="197">
        <f t="shared" ref="H697:H712" si="177">SUM(G697*200)</f>
        <v>200</v>
      </c>
      <c r="I697" s="202">
        <v>20</v>
      </c>
      <c r="J697" s="197">
        <v>6220</v>
      </c>
      <c r="K697" s="288" t="s">
        <v>17</v>
      </c>
      <c r="L697" s="284">
        <v>6000</v>
      </c>
    </row>
    <row r="698" spans="1:12" ht="22.5" customHeight="1">
      <c r="A698" s="190" t="s">
        <v>35</v>
      </c>
      <c r="B698" s="199">
        <v>45749</v>
      </c>
      <c r="C698" s="211" t="s">
        <v>1112</v>
      </c>
      <c r="D698" s="177" t="s">
        <v>1099</v>
      </c>
      <c r="E698" s="212">
        <v>6000</v>
      </c>
      <c r="F698" s="195">
        <f t="shared" si="176"/>
        <v>3000</v>
      </c>
      <c r="G698" s="210">
        <v>1</v>
      </c>
      <c r="H698" s="197">
        <f t="shared" si="177"/>
        <v>200</v>
      </c>
      <c r="I698" s="206">
        <v>20</v>
      </c>
      <c r="J698" s="282">
        <v>6220</v>
      </c>
      <c r="K698" s="295" t="s">
        <v>38</v>
      </c>
      <c r="L698" s="284">
        <v>6000</v>
      </c>
    </row>
    <row r="699" spans="1:12" ht="22.5" customHeight="1">
      <c r="A699" s="213" t="s">
        <v>39</v>
      </c>
      <c r="B699" s="199">
        <v>45777</v>
      </c>
      <c r="C699" s="14" t="s">
        <v>1123</v>
      </c>
      <c r="D699" s="205" t="s">
        <v>1097</v>
      </c>
      <c r="E699" s="202">
        <v>8000</v>
      </c>
      <c r="F699" s="195">
        <f t="shared" si="176"/>
        <v>4000</v>
      </c>
      <c r="G699" s="203">
        <v>1</v>
      </c>
      <c r="H699" s="197">
        <f t="shared" si="177"/>
        <v>200</v>
      </c>
      <c r="I699" s="202">
        <v>20</v>
      </c>
      <c r="J699" s="282">
        <f>SUM(E699,H699:I699)</f>
        <v>8220</v>
      </c>
      <c r="K699" s="288" t="s">
        <v>42</v>
      </c>
      <c r="L699" s="284">
        <v>8000</v>
      </c>
    </row>
    <row r="700" spans="1:12" ht="22.5" customHeight="1">
      <c r="A700" s="213" t="s">
        <v>43</v>
      </c>
      <c r="B700" s="199">
        <v>45777</v>
      </c>
      <c r="C700" s="204" t="s">
        <v>1122</v>
      </c>
      <c r="D700" s="14" t="s">
        <v>1100</v>
      </c>
      <c r="E700" s="202">
        <v>8000</v>
      </c>
      <c r="F700" s="195">
        <f t="shared" si="176"/>
        <v>4000</v>
      </c>
      <c r="G700" s="203">
        <v>2</v>
      </c>
      <c r="H700" s="197">
        <f t="shared" si="177"/>
        <v>400</v>
      </c>
      <c r="I700" s="206">
        <v>20</v>
      </c>
      <c r="J700" s="282">
        <f>SUM(E700,H700:I700)</f>
        <v>8420</v>
      </c>
      <c r="K700" s="288" t="s">
        <v>46</v>
      </c>
      <c r="L700" s="284">
        <v>8000</v>
      </c>
    </row>
    <row r="701" spans="1:12" ht="22.5" customHeight="1">
      <c r="A701" s="213" t="s">
        <v>47</v>
      </c>
      <c r="B701" s="199">
        <v>45775</v>
      </c>
      <c r="C701" s="204" t="s">
        <v>1115</v>
      </c>
      <c r="D701" s="205" t="s">
        <v>1101</v>
      </c>
      <c r="E701" s="202">
        <v>8000</v>
      </c>
      <c r="F701" s="195">
        <f t="shared" si="176"/>
        <v>4000</v>
      </c>
      <c r="G701" s="203">
        <v>2</v>
      </c>
      <c r="H701" s="197">
        <f t="shared" si="177"/>
        <v>400</v>
      </c>
      <c r="I701" s="202">
        <v>20</v>
      </c>
      <c r="J701" s="282">
        <v>8600</v>
      </c>
      <c r="K701" s="288" t="s">
        <v>50</v>
      </c>
      <c r="L701" s="291">
        <v>8000</v>
      </c>
    </row>
    <row r="702" spans="1:12" ht="22.5" customHeight="1">
      <c r="A702" s="213" t="s">
        <v>51</v>
      </c>
      <c r="B702" s="199">
        <v>45775</v>
      </c>
      <c r="C702" s="204" t="s">
        <v>1117</v>
      </c>
      <c r="D702" s="205" t="s">
        <v>1098</v>
      </c>
      <c r="E702" s="212">
        <v>8500</v>
      </c>
      <c r="F702" s="195">
        <f t="shared" si="176"/>
        <v>4250</v>
      </c>
      <c r="G702" s="210">
        <v>2</v>
      </c>
      <c r="H702" s="197">
        <f t="shared" si="177"/>
        <v>400</v>
      </c>
      <c r="I702" s="212">
        <v>20</v>
      </c>
      <c r="J702" s="282">
        <v>8920</v>
      </c>
      <c r="K702" s="295" t="s">
        <v>577</v>
      </c>
      <c r="L702" s="284">
        <v>8500</v>
      </c>
    </row>
    <row r="703" spans="1:12" ht="22.5" customHeight="1">
      <c r="A703" s="213" t="s">
        <v>55</v>
      </c>
      <c r="B703" s="199">
        <v>45779</v>
      </c>
      <c r="C703" s="204" t="s">
        <v>1128</v>
      </c>
      <c r="D703" s="205" t="s">
        <v>1101</v>
      </c>
      <c r="E703" s="202">
        <v>7500</v>
      </c>
      <c r="F703" s="195">
        <f t="shared" si="176"/>
        <v>3750</v>
      </c>
      <c r="G703" s="203">
        <v>2</v>
      </c>
      <c r="H703" s="197">
        <f t="shared" si="177"/>
        <v>400</v>
      </c>
      <c r="I703" s="206">
        <v>20</v>
      </c>
      <c r="J703" s="282">
        <v>7920</v>
      </c>
      <c r="K703" s="288" t="s">
        <v>57</v>
      </c>
      <c r="L703" s="284">
        <v>7500</v>
      </c>
    </row>
    <row r="704" spans="1:12" ht="22.5" customHeight="1">
      <c r="A704" s="213" t="s">
        <v>58</v>
      </c>
      <c r="B704" s="199">
        <v>45776</v>
      </c>
      <c r="C704" s="204" t="s">
        <v>1121</v>
      </c>
      <c r="D704" s="205" t="s">
        <v>1096</v>
      </c>
      <c r="E704" s="202">
        <v>6500</v>
      </c>
      <c r="F704" s="195">
        <f t="shared" si="176"/>
        <v>3250</v>
      </c>
      <c r="G704" s="203">
        <v>1</v>
      </c>
      <c r="H704" s="197">
        <f t="shared" si="177"/>
        <v>200</v>
      </c>
      <c r="I704" s="206">
        <v>20</v>
      </c>
      <c r="J704" s="254">
        <v>6620</v>
      </c>
      <c r="K704" s="296" t="s">
        <v>378</v>
      </c>
      <c r="L704" s="284">
        <v>6500</v>
      </c>
    </row>
    <row r="705" spans="1:12" ht="22.5" customHeight="1">
      <c r="A705" s="213" t="s">
        <v>60</v>
      </c>
      <c r="B705" s="199"/>
      <c r="C705" s="204" t="s">
        <v>162</v>
      </c>
      <c r="D705" s="205"/>
      <c r="E705" s="202"/>
      <c r="F705" s="195"/>
      <c r="G705" s="203"/>
      <c r="H705" s="197"/>
      <c r="I705" s="206"/>
      <c r="J705" s="282"/>
      <c r="K705" s="288"/>
      <c r="L705" s="284"/>
    </row>
    <row r="706" spans="1:12" ht="22.5" customHeight="1">
      <c r="A706" s="214" t="s">
        <v>63</v>
      </c>
      <c r="B706" s="199">
        <v>45778</v>
      </c>
      <c r="C706" s="204" t="s">
        <v>1124</v>
      </c>
      <c r="D706" s="205" t="s">
        <v>1102</v>
      </c>
      <c r="E706" s="206">
        <v>9000</v>
      </c>
      <c r="F706" s="195">
        <f t="shared" si="176"/>
        <v>4500</v>
      </c>
      <c r="G706" s="203">
        <v>2</v>
      </c>
      <c r="H706" s="197">
        <f t="shared" si="177"/>
        <v>400</v>
      </c>
      <c r="I706" s="206">
        <v>20</v>
      </c>
      <c r="J706" s="282">
        <v>9420</v>
      </c>
      <c r="K706" s="288" t="s">
        <v>584</v>
      </c>
      <c r="L706" s="291">
        <v>9000</v>
      </c>
    </row>
    <row r="707" spans="1:12" ht="22.5" customHeight="1">
      <c r="A707" s="214" t="s">
        <v>67</v>
      </c>
      <c r="B707" s="199">
        <v>45775</v>
      </c>
      <c r="C707" s="204" t="s">
        <v>1114</v>
      </c>
      <c r="D707" s="205" t="s">
        <v>1095</v>
      </c>
      <c r="E707" s="206">
        <v>8500</v>
      </c>
      <c r="F707" s="195">
        <f t="shared" si="176"/>
        <v>4250</v>
      </c>
      <c r="G707" s="203">
        <v>2</v>
      </c>
      <c r="H707" s="197">
        <f t="shared" si="177"/>
        <v>400</v>
      </c>
      <c r="I707" s="206">
        <v>20</v>
      </c>
      <c r="J707" s="282">
        <v>8700</v>
      </c>
      <c r="K707" s="295" t="s">
        <v>1074</v>
      </c>
      <c r="L707" s="284">
        <v>8500</v>
      </c>
    </row>
    <row r="708" spans="1:12" ht="22.5" customHeight="1">
      <c r="A708" s="214" t="s">
        <v>71</v>
      </c>
      <c r="B708" s="199">
        <v>45778</v>
      </c>
      <c r="C708" s="204" t="s">
        <v>1125</v>
      </c>
      <c r="D708" s="205" t="s">
        <v>1103</v>
      </c>
      <c r="E708" s="206">
        <v>8500</v>
      </c>
      <c r="F708" s="195">
        <f t="shared" si="176"/>
        <v>4250</v>
      </c>
      <c r="G708" s="203">
        <v>2</v>
      </c>
      <c r="H708" s="197">
        <f t="shared" si="177"/>
        <v>400</v>
      </c>
      <c r="I708" s="206">
        <v>20</v>
      </c>
      <c r="J708" s="282">
        <v>8920</v>
      </c>
      <c r="K708" s="288" t="s">
        <v>383</v>
      </c>
      <c r="L708" s="291">
        <v>8500</v>
      </c>
    </row>
    <row r="709" spans="1:12" ht="22.5" customHeight="1">
      <c r="A709" s="214" t="s">
        <v>74</v>
      </c>
      <c r="B709" s="199">
        <v>45780</v>
      </c>
      <c r="C709" s="204" t="s">
        <v>1130</v>
      </c>
      <c r="D709" s="205" t="s">
        <v>1098</v>
      </c>
      <c r="E709" s="206">
        <v>8000</v>
      </c>
      <c r="F709" s="195">
        <f t="shared" si="176"/>
        <v>4000</v>
      </c>
      <c r="G709" s="203">
        <v>2</v>
      </c>
      <c r="H709" s="197">
        <f t="shared" si="177"/>
        <v>400</v>
      </c>
      <c r="I709" s="206">
        <v>20</v>
      </c>
      <c r="J709" s="282">
        <f>SUM(E709,H709:I709)</f>
        <v>8420</v>
      </c>
      <c r="K709" s="288" t="s">
        <v>76</v>
      </c>
      <c r="L709" s="291">
        <v>8000</v>
      </c>
    </row>
    <row r="710" spans="1:12" ht="22.5" customHeight="1">
      <c r="A710" s="214" t="s">
        <v>77</v>
      </c>
      <c r="B710" s="199">
        <v>45749</v>
      </c>
      <c r="C710" s="207" t="s">
        <v>1111</v>
      </c>
      <c r="D710" s="205" t="s">
        <v>1097</v>
      </c>
      <c r="E710" s="206">
        <v>8000</v>
      </c>
      <c r="F710" s="195">
        <f t="shared" si="176"/>
        <v>4000</v>
      </c>
      <c r="G710" s="203">
        <v>2</v>
      </c>
      <c r="H710" s="197">
        <f t="shared" si="177"/>
        <v>400</v>
      </c>
      <c r="I710" s="206">
        <v>20</v>
      </c>
      <c r="J710" s="282">
        <f>SUM(E710,H710:I710)</f>
        <v>8420</v>
      </c>
      <c r="K710" s="288" t="s">
        <v>340</v>
      </c>
      <c r="L710" s="291">
        <v>8000</v>
      </c>
    </row>
    <row r="711" spans="1:12" ht="22.5" customHeight="1">
      <c r="A711" s="214" t="s">
        <v>81</v>
      </c>
      <c r="B711" s="199">
        <v>45778</v>
      </c>
      <c r="C711" s="207" t="s">
        <v>1126</v>
      </c>
      <c r="D711" s="177" t="s">
        <v>1104</v>
      </c>
      <c r="E711" s="209">
        <v>6000</v>
      </c>
      <c r="F711" s="195">
        <f t="shared" si="176"/>
        <v>3000</v>
      </c>
      <c r="G711" s="210">
        <v>1</v>
      </c>
      <c r="H711" s="197">
        <f t="shared" si="177"/>
        <v>200</v>
      </c>
      <c r="I711" s="206">
        <v>20</v>
      </c>
      <c r="J711" s="282">
        <v>6220</v>
      </c>
      <c r="K711" s="295" t="s">
        <v>83</v>
      </c>
      <c r="L711" s="291">
        <v>6000</v>
      </c>
    </row>
    <row r="712" spans="1:12" ht="22.5" customHeight="1">
      <c r="A712" s="215" t="s">
        <v>84</v>
      </c>
      <c r="B712" s="216">
        <v>45779</v>
      </c>
      <c r="C712" s="217" t="s">
        <v>1127</v>
      </c>
      <c r="D712" s="218" t="s">
        <v>1103</v>
      </c>
      <c r="E712" s="219">
        <v>6500</v>
      </c>
      <c r="F712" s="195">
        <f t="shared" si="176"/>
        <v>3250</v>
      </c>
      <c r="G712" s="220">
        <v>1</v>
      </c>
      <c r="H712" s="197">
        <f t="shared" si="177"/>
        <v>200</v>
      </c>
      <c r="I712" s="219">
        <v>20</v>
      </c>
      <c r="J712" s="303">
        <v>6720</v>
      </c>
      <c r="K712" s="304" t="s">
        <v>390</v>
      </c>
      <c r="L712" s="305">
        <v>6000</v>
      </c>
    </row>
    <row r="713" spans="1:12" ht="22.5" customHeight="1" thickBot="1">
      <c r="A713" s="221"/>
      <c r="B713" s="222"/>
      <c r="C713" s="223"/>
      <c r="D713" s="224"/>
      <c r="E713" s="225">
        <f>SUM(E691:E712)</f>
        <v>151250</v>
      </c>
      <c r="F713" s="226">
        <f>SUM(F691:F712)</f>
        <v>75625</v>
      </c>
      <c r="G713" s="225">
        <f t="shared" ref="G713:J713" si="178">SUM(G691:G712)</f>
        <v>30</v>
      </c>
      <c r="H713" s="227">
        <f t="shared" si="178"/>
        <v>6000</v>
      </c>
      <c r="I713" s="225">
        <f t="shared" si="178"/>
        <v>380</v>
      </c>
      <c r="J713" s="227">
        <f t="shared" si="178"/>
        <v>156990</v>
      </c>
      <c r="K713" s="306"/>
      <c r="L713" s="307">
        <f>SUM(L691:L712)</f>
        <v>148500</v>
      </c>
    </row>
    <row r="714" spans="1:12" ht="22.5" customHeight="1">
      <c r="A714" s="228" t="s">
        <v>88</v>
      </c>
      <c r="B714" s="229"/>
      <c r="C714" s="230"/>
      <c r="D714" s="205"/>
      <c r="E714" s="195"/>
      <c r="F714" s="195"/>
      <c r="G714" s="231"/>
      <c r="H714" s="195"/>
      <c r="I714" s="195"/>
      <c r="J714" s="230"/>
      <c r="K714" s="309"/>
      <c r="L714" s="291"/>
    </row>
    <row r="715" spans="1:12" ht="22.5" customHeight="1">
      <c r="A715" s="176" t="s">
        <v>89</v>
      </c>
      <c r="B715" s="199">
        <v>45763</v>
      </c>
      <c r="C715" s="204" t="s">
        <v>90</v>
      </c>
      <c r="D715" s="205" t="s">
        <v>1105</v>
      </c>
      <c r="E715" s="206">
        <v>10000</v>
      </c>
      <c r="F715" s="195"/>
      <c r="G715" s="232">
        <v>2</v>
      </c>
      <c r="H715" s="197">
        <f t="shared" ref="H715:H719" si="179">SUM(G715*200)</f>
        <v>400</v>
      </c>
      <c r="I715" s="206">
        <v>20</v>
      </c>
      <c r="J715" s="282">
        <v>10420</v>
      </c>
      <c r="K715" s="288" t="s">
        <v>92</v>
      </c>
      <c r="L715" s="291">
        <v>10000</v>
      </c>
    </row>
    <row r="716" spans="1:12" ht="22.5" customHeight="1">
      <c r="A716" s="176" t="s">
        <v>93</v>
      </c>
      <c r="B716" s="199">
        <v>45772</v>
      </c>
      <c r="C716" s="207" t="s">
        <v>94</v>
      </c>
      <c r="D716" s="177" t="s">
        <v>1106</v>
      </c>
      <c r="E716" s="212">
        <v>10000</v>
      </c>
      <c r="F716" s="233"/>
      <c r="G716" s="210">
        <v>2</v>
      </c>
      <c r="H716" s="197">
        <f t="shared" si="179"/>
        <v>400</v>
      </c>
      <c r="I716" s="202">
        <v>20</v>
      </c>
      <c r="J716" s="282">
        <v>10420</v>
      </c>
      <c r="K716" s="310" t="s">
        <v>96</v>
      </c>
      <c r="L716" s="284">
        <v>6000</v>
      </c>
    </row>
    <row r="717" spans="1:12" ht="22.5" customHeight="1">
      <c r="A717" s="176" t="s">
        <v>97</v>
      </c>
      <c r="B717" s="199">
        <v>45762</v>
      </c>
      <c r="C717" s="204" t="s">
        <v>98</v>
      </c>
      <c r="D717" s="205" t="s">
        <v>1099</v>
      </c>
      <c r="E717" s="234">
        <v>12000</v>
      </c>
      <c r="F717" s="235"/>
      <c r="G717" s="232">
        <v>2</v>
      </c>
      <c r="H717" s="197">
        <f t="shared" si="179"/>
        <v>400</v>
      </c>
      <c r="I717" s="206">
        <v>20</v>
      </c>
      <c r="J717" s="282">
        <v>12400</v>
      </c>
      <c r="K717" s="288" t="s">
        <v>99</v>
      </c>
      <c r="L717" s="291">
        <v>12000</v>
      </c>
    </row>
    <row r="718" spans="1:12" ht="22.5" customHeight="1">
      <c r="A718" s="176" t="s">
        <v>100</v>
      </c>
      <c r="B718" s="199"/>
      <c r="C718" s="236" t="s">
        <v>162</v>
      </c>
      <c r="D718" s="205"/>
      <c r="E718" s="206"/>
      <c r="F718" s="195"/>
      <c r="G718" s="232"/>
      <c r="H718" s="197"/>
      <c r="I718" s="206"/>
      <c r="J718" s="282"/>
      <c r="K718" s="311"/>
      <c r="L718" s="291"/>
    </row>
    <row r="719" spans="1:12" ht="22.5" customHeight="1">
      <c r="A719" s="176" t="s">
        <v>104</v>
      </c>
      <c r="B719" s="339">
        <v>45782</v>
      </c>
      <c r="C719" s="237" t="s">
        <v>105</v>
      </c>
      <c r="D719" s="205" t="s">
        <v>1107</v>
      </c>
      <c r="E719" s="206">
        <v>12000</v>
      </c>
      <c r="F719" s="195"/>
      <c r="G719" s="238">
        <v>3</v>
      </c>
      <c r="H719" s="197">
        <f t="shared" si="179"/>
        <v>600</v>
      </c>
      <c r="I719" s="219">
        <v>20</v>
      </c>
      <c r="J719" s="282">
        <v>12620</v>
      </c>
      <c r="K719" s="311" t="s">
        <v>107</v>
      </c>
      <c r="L719" s="291">
        <v>12000</v>
      </c>
    </row>
    <row r="720" spans="1:12" ht="22.5" customHeight="1" thickBot="1">
      <c r="A720" s="239"/>
      <c r="B720" s="240"/>
      <c r="C720" s="241" t="s">
        <v>108</v>
      </c>
      <c r="D720" s="242"/>
      <c r="E720" s="243">
        <f>SUM(E715:E718)</f>
        <v>32000</v>
      </c>
      <c r="F720" s="226"/>
      <c r="G720" s="226">
        <f>SUM(G715:G718)</f>
        <v>6</v>
      </c>
      <c r="H720" s="226">
        <f>SUM(H715:H718)</f>
        <v>1200</v>
      </c>
      <c r="I720" s="243">
        <f>SUM(I715:I718)</f>
        <v>60</v>
      </c>
      <c r="J720" s="226">
        <f>SUM(J715:J718)</f>
        <v>33240</v>
      </c>
      <c r="K720" s="306"/>
      <c r="L720" s="312">
        <f>SUM(L715:L719)</f>
        <v>40000</v>
      </c>
    </row>
    <row r="721" spans="1:12" ht="22.5" customHeight="1">
      <c r="A721" s="228" t="s">
        <v>109</v>
      </c>
      <c r="B721" s="244"/>
      <c r="C721" s="245"/>
      <c r="D721" s="205"/>
      <c r="E721" s="195"/>
      <c r="F721" s="195"/>
      <c r="G721" s="231"/>
      <c r="H721" s="195"/>
      <c r="I721" s="195"/>
      <c r="J721" s="195"/>
      <c r="K721" s="309"/>
      <c r="L721" s="313"/>
    </row>
    <row r="722" spans="1:12" ht="22.5" customHeight="1" thickBot="1">
      <c r="A722" s="246" t="s">
        <v>110</v>
      </c>
      <c r="B722" s="247"/>
      <c r="C722" s="248" t="s">
        <v>111</v>
      </c>
      <c r="D722" s="242"/>
      <c r="E722" s="243"/>
      <c r="F722" s="226"/>
      <c r="G722" s="249"/>
      <c r="H722" s="226"/>
      <c r="I722" s="243"/>
      <c r="J722" s="226"/>
      <c r="K722" s="306"/>
      <c r="L722" s="312"/>
    </row>
    <row r="723" spans="1:12" ht="22.5" customHeight="1">
      <c r="A723" s="228" t="s">
        <v>112</v>
      </c>
      <c r="B723" s="250"/>
      <c r="C723" s="245"/>
      <c r="D723" s="205"/>
      <c r="E723" s="195"/>
      <c r="F723" s="195"/>
      <c r="G723" s="231"/>
      <c r="H723" s="195"/>
      <c r="I723" s="195"/>
      <c r="J723" s="195"/>
      <c r="K723" s="309"/>
      <c r="L723" s="313"/>
    </row>
    <row r="724" spans="1:12" ht="22.5" customHeight="1">
      <c r="A724" s="176" t="s">
        <v>113</v>
      </c>
      <c r="B724" s="199">
        <v>45750</v>
      </c>
      <c r="C724" s="251" t="s">
        <v>114</v>
      </c>
      <c r="D724" s="177" t="s">
        <v>1097</v>
      </c>
      <c r="E724" s="206">
        <v>12600</v>
      </c>
      <c r="F724" s="230"/>
      <c r="G724" s="209">
        <v>2</v>
      </c>
      <c r="H724" s="197">
        <f t="shared" ref="H724:H726" si="180">SUM(G724*200)</f>
        <v>400</v>
      </c>
      <c r="I724" s="314">
        <v>20</v>
      </c>
      <c r="J724" s="282">
        <v>12400</v>
      </c>
      <c r="K724" s="295" t="s">
        <v>115</v>
      </c>
      <c r="L724" s="291">
        <v>12000</v>
      </c>
    </row>
    <row r="725" spans="1:12" ht="22.5" customHeight="1">
      <c r="A725" s="176" t="s">
        <v>116</v>
      </c>
      <c r="B725" s="199">
        <v>45750</v>
      </c>
      <c r="C725" s="252" t="s">
        <v>117</v>
      </c>
      <c r="D725" s="205" t="s">
        <v>1108</v>
      </c>
      <c r="E725" s="206">
        <v>7000</v>
      </c>
      <c r="F725" s="195"/>
      <c r="G725" s="209">
        <v>1</v>
      </c>
      <c r="H725" s="197">
        <f t="shared" si="180"/>
        <v>200</v>
      </c>
      <c r="I725" s="314">
        <v>20</v>
      </c>
      <c r="J725" s="282">
        <v>7220</v>
      </c>
      <c r="K725" s="288" t="s">
        <v>119</v>
      </c>
      <c r="L725" s="291">
        <v>7000</v>
      </c>
    </row>
    <row r="726" spans="1:12" ht="22.5" customHeight="1">
      <c r="A726" s="176" t="s">
        <v>120</v>
      </c>
      <c r="B726" s="199">
        <v>45771</v>
      </c>
      <c r="C726" s="253" t="s">
        <v>121</v>
      </c>
      <c r="D726" s="177" t="s">
        <v>1098</v>
      </c>
      <c r="E726" s="209">
        <v>10000</v>
      </c>
      <c r="F726" s="254"/>
      <c r="G726" s="209">
        <v>2</v>
      </c>
      <c r="H726" s="197">
        <f t="shared" si="180"/>
        <v>400</v>
      </c>
      <c r="I726" s="315">
        <v>20</v>
      </c>
      <c r="J726" s="254">
        <v>10420</v>
      </c>
      <c r="K726" s="316" t="s">
        <v>122</v>
      </c>
      <c r="L726" s="291">
        <v>10000</v>
      </c>
    </row>
    <row r="727" spans="1:12" ht="22.5" customHeight="1" thickBot="1">
      <c r="A727" s="246"/>
      <c r="B727" s="247"/>
      <c r="C727" s="255"/>
      <c r="D727" s="242"/>
      <c r="E727" s="256">
        <f>SUM(E724:E726)</f>
        <v>29600</v>
      </c>
      <c r="F727" s="257"/>
      <c r="G727" s="256">
        <f>SUM(G724:G726)</f>
        <v>5</v>
      </c>
      <c r="H727" s="257">
        <f>SUM(H724:H726)</f>
        <v>1000</v>
      </c>
      <c r="I727" s="257">
        <f>SUM(I724:I726)</f>
        <v>60</v>
      </c>
      <c r="J727" s="257">
        <f>SUM(J724:J726)</f>
        <v>30040</v>
      </c>
      <c r="K727" s="317"/>
      <c r="L727" s="312">
        <f>SUM(L724:L726)</f>
        <v>29000</v>
      </c>
    </row>
    <row r="728" spans="1:12" ht="22.5" customHeight="1">
      <c r="B728" s="244"/>
      <c r="C728" s="80"/>
      <c r="D728" s="258"/>
      <c r="E728" s="259">
        <f>SUM(E713,E720,E722,E727)</f>
        <v>212850</v>
      </c>
      <c r="F728" s="260"/>
      <c r="G728" s="259">
        <f>SUM(G713,G720,G722,G727)</f>
        <v>41</v>
      </c>
      <c r="H728" s="259">
        <f>SUM(H713,H720,H722,H727)</f>
        <v>8200</v>
      </c>
      <c r="I728" s="318">
        <f>SUM(I713,I720,I722,I727)</f>
        <v>500</v>
      </c>
      <c r="J728" s="259">
        <f>SUM(J713,J720,J722,J727)</f>
        <v>220270</v>
      </c>
      <c r="K728" s="319"/>
      <c r="L728" s="291"/>
    </row>
    <row r="729" spans="1:12" ht="22.5" customHeight="1">
      <c r="A729" s="228" t="s">
        <v>123</v>
      </c>
      <c r="B729" s="261"/>
      <c r="C729" s="262"/>
      <c r="D729" s="15"/>
      <c r="E729" s="195"/>
      <c r="F729" s="263" t="s">
        <v>124</v>
      </c>
      <c r="G729" s="264"/>
      <c r="H729" s="195"/>
      <c r="I729" s="195"/>
      <c r="J729" s="230"/>
      <c r="K729" s="309"/>
      <c r="L729" s="284"/>
    </row>
    <row r="730" spans="1:12" ht="22.5" customHeight="1">
      <c r="A730" s="176" t="s">
        <v>125</v>
      </c>
      <c r="B730" s="199">
        <v>45769</v>
      </c>
      <c r="C730" s="265" t="s">
        <v>126</v>
      </c>
      <c r="D730" s="205" t="s">
        <v>1109</v>
      </c>
      <c r="E730" s="202">
        <v>5000</v>
      </c>
      <c r="F730" s="266">
        <v>325</v>
      </c>
      <c r="G730" s="203">
        <v>2</v>
      </c>
      <c r="H730" s="266">
        <f t="shared" ref="H730:H731" si="181">SUM(G730*200)</f>
        <v>400</v>
      </c>
      <c r="I730" s="202">
        <v>20</v>
      </c>
      <c r="J730" s="282">
        <f>SUM(E730,F730,H730,I730)</f>
        <v>5745</v>
      </c>
      <c r="K730" s="319" t="s">
        <v>128</v>
      </c>
      <c r="L730" s="284">
        <v>5000</v>
      </c>
    </row>
    <row r="731" spans="1:12" ht="22.5" customHeight="1">
      <c r="A731" s="176" t="s">
        <v>129</v>
      </c>
      <c r="B731" s="199">
        <v>45779</v>
      </c>
      <c r="C731" s="265" t="s">
        <v>130</v>
      </c>
      <c r="D731" s="205" t="s">
        <v>1110</v>
      </c>
      <c r="E731" s="206">
        <v>5500</v>
      </c>
      <c r="F731" s="195"/>
      <c r="G731" s="203">
        <v>1</v>
      </c>
      <c r="H731" s="266">
        <f t="shared" si="181"/>
        <v>200</v>
      </c>
      <c r="I731" s="206">
        <v>20</v>
      </c>
      <c r="J731" s="282">
        <f>SUM(E731,H731:I731)</f>
        <v>5720</v>
      </c>
      <c r="K731" s="319" t="s">
        <v>132</v>
      </c>
      <c r="L731" s="291">
        <v>5500</v>
      </c>
    </row>
    <row r="732" spans="1:12" ht="22.5" customHeight="1" thickBot="1">
      <c r="A732" s="267" t="s">
        <v>133</v>
      </c>
      <c r="B732" s="268"/>
      <c r="C732" s="269"/>
      <c r="D732" s="242"/>
      <c r="E732" s="270">
        <f>SUM(E730:E731)</f>
        <v>10500</v>
      </c>
      <c r="F732" s="226">
        <f t="shared" ref="F732:I732" si="182">SUM(F730:F731)</f>
        <v>325</v>
      </c>
      <c r="G732" s="243">
        <f t="shared" si="182"/>
        <v>3</v>
      </c>
      <c r="H732" s="226">
        <f t="shared" si="182"/>
        <v>600</v>
      </c>
      <c r="I732" s="320">
        <f t="shared" si="182"/>
        <v>40</v>
      </c>
      <c r="J732" s="321">
        <f>SUM(F732,H732,I732,)</f>
        <v>965</v>
      </c>
      <c r="K732" s="322"/>
      <c r="L732" s="284"/>
    </row>
    <row r="733" spans="1:12" ht="22.5" customHeight="1">
      <c r="E733" s="271" t="s">
        <v>134</v>
      </c>
      <c r="F733" s="272">
        <f>SUM(F728,F732)</f>
        <v>325</v>
      </c>
      <c r="H733" s="272">
        <f>SUM(H728,H732)</f>
        <v>8800</v>
      </c>
      <c r="I733" s="324">
        <f>SUM(I728,I732)</f>
        <v>540</v>
      </c>
      <c r="J733" s="325" t="s">
        <v>135</v>
      </c>
      <c r="L733" s="284"/>
    </row>
    <row r="734" spans="1:12" ht="22.5" customHeight="1">
      <c r="D734" s="326">
        <f>SUM(E234,E278,E323,E368,E413,E458,E503,E548,E593,E638,E683,E728)</f>
        <v>278850</v>
      </c>
      <c r="E734" s="326">
        <f>SUM(E219,E263,E308,E359,E398,E443,E488,E533,E578,E623,E668,E713)</f>
        <v>610400</v>
      </c>
      <c r="L734" s="291"/>
    </row>
    <row r="735" spans="1:12" ht="22.5" customHeight="1"/>
    <row r="736" spans="1:12" ht="22.5" customHeight="1"/>
    <row r="737" spans="1:13" ht="22.5" customHeight="1" thickBot="1">
      <c r="A737" s="185" t="s">
        <v>8</v>
      </c>
      <c r="B737" s="348" t="s">
        <v>1174</v>
      </c>
      <c r="C737" s="187"/>
      <c r="D737" s="187"/>
      <c r="E737" s="187"/>
      <c r="F737" s="273"/>
      <c r="G737" s="189"/>
      <c r="H737" s="273"/>
      <c r="I737" s="187"/>
      <c r="J737" s="187"/>
      <c r="K737" s="187"/>
      <c r="L737" s="187"/>
      <c r="M737"/>
    </row>
    <row r="738" spans="1:13" ht="22.5" customHeight="1">
      <c r="A738" s="190" t="s">
        <v>10</v>
      </c>
      <c r="B738" s="191">
        <v>45811</v>
      </c>
      <c r="C738" s="192" t="s">
        <v>1212</v>
      </c>
      <c r="D738" s="193" t="s">
        <v>1175</v>
      </c>
      <c r="E738" s="194">
        <v>8000</v>
      </c>
      <c r="F738" s="195">
        <f>SUM(E738*0.5)</f>
        <v>4000</v>
      </c>
      <c r="G738" s="196">
        <v>1</v>
      </c>
      <c r="H738" s="197">
        <f t="shared" ref="H738:H740" si="183">SUM(G738*200)</f>
        <v>200</v>
      </c>
      <c r="I738" s="194">
        <v>20</v>
      </c>
      <c r="J738" s="279">
        <v>8220</v>
      </c>
      <c r="K738" s="280" t="s">
        <v>13</v>
      </c>
      <c r="L738" s="281">
        <v>8000</v>
      </c>
      <c r="M738" s="281"/>
    </row>
    <row r="739" spans="1:13" ht="22.5" customHeight="1">
      <c r="A739" s="198" t="s">
        <v>14</v>
      </c>
      <c r="B739" s="199">
        <v>45806</v>
      </c>
      <c r="C739" s="200" t="s">
        <v>1201</v>
      </c>
      <c r="D739" s="201" t="s">
        <v>1176</v>
      </c>
      <c r="E739" s="202">
        <v>8500</v>
      </c>
      <c r="F739" s="195">
        <f>SUM(E739*0.5)</f>
        <v>4250</v>
      </c>
      <c r="G739" s="203">
        <v>3</v>
      </c>
      <c r="H739" s="197">
        <f t="shared" si="183"/>
        <v>600</v>
      </c>
      <c r="I739" s="206">
        <v>20</v>
      </c>
      <c r="J739" s="282">
        <v>8620</v>
      </c>
      <c r="K739" s="283" t="s">
        <v>314</v>
      </c>
      <c r="L739" s="284">
        <v>8500</v>
      </c>
      <c r="M739" s="284"/>
    </row>
    <row r="740" spans="1:13" ht="22.5" customHeight="1">
      <c r="A740" s="190" t="s">
        <v>18</v>
      </c>
      <c r="B740" s="199">
        <v>45806</v>
      </c>
      <c r="C740" s="204" t="s">
        <v>1202</v>
      </c>
      <c r="D740" s="205" t="s">
        <v>1177</v>
      </c>
      <c r="E740" s="202">
        <v>8000</v>
      </c>
      <c r="F740" s="195">
        <f t="shared" ref="F740:F741" si="184">SUM(E740*0.5)</f>
        <v>4000</v>
      </c>
      <c r="G740" s="203">
        <v>1</v>
      </c>
      <c r="H740" s="197">
        <f t="shared" si="183"/>
        <v>200</v>
      </c>
      <c r="I740" s="206">
        <v>20</v>
      </c>
      <c r="J740" s="282">
        <f>SUM(E740,H740:I740)</f>
        <v>8220</v>
      </c>
      <c r="K740" s="288" t="s">
        <v>21</v>
      </c>
      <c r="L740" s="284">
        <v>8000</v>
      </c>
      <c r="M740" s="284"/>
    </row>
    <row r="741" spans="1:13" ht="22.5" customHeight="1">
      <c r="A741" s="190" t="s">
        <v>22</v>
      </c>
      <c r="B741" s="199">
        <v>45776</v>
      </c>
      <c r="C741" s="26" t="s">
        <v>1119</v>
      </c>
      <c r="D741" s="205" t="s">
        <v>1178</v>
      </c>
      <c r="E741" s="206">
        <v>7250</v>
      </c>
      <c r="F741" s="195">
        <f t="shared" si="184"/>
        <v>3625</v>
      </c>
      <c r="G741" s="203">
        <v>1</v>
      </c>
      <c r="H741" s="197">
        <f t="shared" ref="H741" si="185">SUM(G741*200)</f>
        <v>200</v>
      </c>
      <c r="I741" s="206">
        <v>20</v>
      </c>
      <c r="J741" s="282">
        <f>SUM(E741,H741:I741)</f>
        <v>7470</v>
      </c>
      <c r="K741" s="290" t="s">
        <v>25</v>
      </c>
      <c r="L741" s="291">
        <v>5000</v>
      </c>
      <c r="M741" s="291"/>
    </row>
    <row r="742" spans="1:13" ht="22.5" customHeight="1">
      <c r="A742" s="190" t="s">
        <v>26</v>
      </c>
      <c r="B742" s="199"/>
      <c r="C742" s="207" t="s">
        <v>162</v>
      </c>
      <c r="D742" s="208"/>
      <c r="E742" s="209"/>
      <c r="F742" s="195"/>
      <c r="G742" s="210"/>
      <c r="H742" s="197"/>
      <c r="I742" s="209"/>
      <c r="J742" s="254"/>
      <c r="K742" s="24"/>
      <c r="M742"/>
    </row>
    <row r="743" spans="1:13" ht="22.5" customHeight="1">
      <c r="A743" s="190" t="s">
        <v>30</v>
      </c>
      <c r="B743" s="199">
        <v>45817</v>
      </c>
      <c r="C743" s="204" t="s">
        <v>1240</v>
      </c>
      <c r="D743" s="205" t="s">
        <v>1179</v>
      </c>
      <c r="E743" s="209">
        <v>6500</v>
      </c>
      <c r="F743" s="195">
        <v>3250</v>
      </c>
      <c r="G743" s="210">
        <v>0</v>
      </c>
      <c r="H743" s="197"/>
      <c r="I743" s="209"/>
      <c r="J743" s="254">
        <v>6500</v>
      </c>
      <c r="K743" s="294" t="s">
        <v>1070</v>
      </c>
      <c r="L743" s="287">
        <v>6500</v>
      </c>
      <c r="M743" s="287"/>
    </row>
    <row r="744" spans="1:13" ht="22.5" customHeight="1">
      <c r="A744" s="190" t="s">
        <v>33</v>
      </c>
      <c r="B744" s="199">
        <v>45807</v>
      </c>
      <c r="C744" s="204" t="s">
        <v>1204</v>
      </c>
      <c r="D744" s="205" t="s">
        <v>1180</v>
      </c>
      <c r="E744" s="202">
        <v>6000</v>
      </c>
      <c r="F744" s="195">
        <f t="shared" ref="F744:F751" si="186">SUM(E744*0.5)</f>
        <v>3000</v>
      </c>
      <c r="G744" s="210">
        <v>1</v>
      </c>
      <c r="H744" s="197">
        <f t="shared" ref="H744:H751" si="187">SUM(G744*200)</f>
        <v>200</v>
      </c>
      <c r="I744" s="202">
        <v>20</v>
      </c>
      <c r="J744" s="197">
        <v>6220</v>
      </c>
      <c r="K744" s="288" t="s">
        <v>17</v>
      </c>
      <c r="L744" s="284">
        <v>6000</v>
      </c>
      <c r="M744" s="284"/>
    </row>
    <row r="745" spans="1:13" ht="22.5" customHeight="1">
      <c r="A745" s="190" t="s">
        <v>35</v>
      </c>
      <c r="B745" s="199">
        <v>45809</v>
      </c>
      <c r="C745" s="211" t="s">
        <v>1210</v>
      </c>
      <c r="D745" s="177" t="s">
        <v>1181</v>
      </c>
      <c r="E745" s="212">
        <v>6000</v>
      </c>
      <c r="F745" s="195">
        <f t="shared" si="186"/>
        <v>3000</v>
      </c>
      <c r="G745" s="210">
        <v>1</v>
      </c>
      <c r="H745" s="197">
        <f t="shared" si="187"/>
        <v>200</v>
      </c>
      <c r="I745" s="206">
        <v>20</v>
      </c>
      <c r="J745" s="282">
        <v>6220</v>
      </c>
      <c r="K745" s="295" t="s">
        <v>38</v>
      </c>
      <c r="L745" s="284">
        <v>6000</v>
      </c>
      <c r="M745" s="284"/>
    </row>
    <row r="746" spans="1:13" ht="22.5" customHeight="1">
      <c r="A746" s="213" t="s">
        <v>39</v>
      </c>
      <c r="B746" s="199">
        <v>45808</v>
      </c>
      <c r="C746" s="14" t="s">
        <v>1205</v>
      </c>
      <c r="D746" s="205" t="s">
        <v>1179</v>
      </c>
      <c r="E746" s="202">
        <v>8000</v>
      </c>
      <c r="F746" s="195">
        <f t="shared" si="186"/>
        <v>4000</v>
      </c>
      <c r="G746" s="203">
        <v>1</v>
      </c>
      <c r="H746" s="197">
        <f t="shared" si="187"/>
        <v>200</v>
      </c>
      <c r="I746" s="202">
        <v>20</v>
      </c>
      <c r="J746" s="282">
        <f>SUM(E746,H746:I746)</f>
        <v>8220</v>
      </c>
      <c r="K746" s="288" t="s">
        <v>42</v>
      </c>
      <c r="L746" s="284">
        <v>8000</v>
      </c>
      <c r="M746" s="284"/>
    </row>
    <row r="747" spans="1:13" ht="22.5" customHeight="1">
      <c r="A747" s="213" t="s">
        <v>43</v>
      </c>
      <c r="B747" s="199">
        <v>45809</v>
      </c>
      <c r="C747" s="204" t="s">
        <v>1209</v>
      </c>
      <c r="D747" s="14" t="s">
        <v>1182</v>
      </c>
      <c r="E747" s="202">
        <v>8000</v>
      </c>
      <c r="F747" s="195">
        <f t="shared" si="186"/>
        <v>4000</v>
      </c>
      <c r="G747" s="203">
        <v>2</v>
      </c>
      <c r="H747" s="197">
        <f t="shared" si="187"/>
        <v>400</v>
      </c>
      <c r="I747" s="206">
        <v>20</v>
      </c>
      <c r="J747" s="282">
        <f>SUM(E747,H747:I747)</f>
        <v>8420</v>
      </c>
      <c r="K747" s="288" t="s">
        <v>46</v>
      </c>
      <c r="L747" s="284">
        <v>8000</v>
      </c>
      <c r="M747" s="284"/>
    </row>
    <row r="748" spans="1:13" ht="22.5" customHeight="1">
      <c r="A748" s="213" t="s">
        <v>47</v>
      </c>
      <c r="B748" s="199">
        <v>45806</v>
      </c>
      <c r="C748" s="204" t="s">
        <v>1199</v>
      </c>
      <c r="D748" s="205" t="s">
        <v>1183</v>
      </c>
      <c r="E748" s="202">
        <v>8000</v>
      </c>
      <c r="F748" s="195">
        <f t="shared" si="186"/>
        <v>4000</v>
      </c>
      <c r="G748" s="203">
        <v>2</v>
      </c>
      <c r="H748" s="197">
        <f t="shared" si="187"/>
        <v>400</v>
      </c>
      <c r="I748" s="202">
        <v>20</v>
      </c>
      <c r="J748" s="282">
        <v>8600</v>
      </c>
      <c r="K748" s="288" t="s">
        <v>50</v>
      </c>
      <c r="L748" s="291">
        <v>8000</v>
      </c>
      <c r="M748" s="291"/>
    </row>
    <row r="749" spans="1:13" ht="22.5" customHeight="1">
      <c r="A749" s="213" t="s">
        <v>51</v>
      </c>
      <c r="B749" s="199">
        <v>45806</v>
      </c>
      <c r="C749" s="204" t="s">
        <v>1203</v>
      </c>
      <c r="D749" s="205" t="s">
        <v>1180</v>
      </c>
      <c r="E749" s="212">
        <v>8500</v>
      </c>
      <c r="F749" s="195">
        <f t="shared" si="186"/>
        <v>4250</v>
      </c>
      <c r="G749" s="210">
        <v>2</v>
      </c>
      <c r="H749" s="197">
        <f t="shared" si="187"/>
        <v>400</v>
      </c>
      <c r="I749" s="212">
        <v>20</v>
      </c>
      <c r="J749" s="282">
        <v>8920</v>
      </c>
      <c r="K749" s="295" t="s">
        <v>577</v>
      </c>
      <c r="L749" s="284">
        <v>8500</v>
      </c>
      <c r="M749" s="284"/>
    </row>
    <row r="750" spans="1:13" ht="22.5" customHeight="1">
      <c r="A750" s="213" t="s">
        <v>55</v>
      </c>
      <c r="B750" s="199">
        <v>45808</v>
      </c>
      <c r="C750" s="204" t="s">
        <v>1206</v>
      </c>
      <c r="D750" s="205" t="s">
        <v>1183</v>
      </c>
      <c r="E750" s="202">
        <v>7500</v>
      </c>
      <c r="F750" s="195">
        <f t="shared" si="186"/>
        <v>3750</v>
      </c>
      <c r="G750" s="203">
        <v>2</v>
      </c>
      <c r="H750" s="197">
        <f t="shared" si="187"/>
        <v>400</v>
      </c>
      <c r="I750" s="206">
        <v>20</v>
      </c>
      <c r="J750" s="282">
        <v>7920</v>
      </c>
      <c r="K750" s="288" t="s">
        <v>57</v>
      </c>
      <c r="L750" s="284">
        <v>7500</v>
      </c>
      <c r="M750" s="284"/>
    </row>
    <row r="751" spans="1:13" ht="22.5" customHeight="1">
      <c r="A751" s="213" t="s">
        <v>58</v>
      </c>
      <c r="B751" s="199">
        <v>45805</v>
      </c>
      <c r="C751" s="204" t="s">
        <v>1198</v>
      </c>
      <c r="D751" s="205" t="s">
        <v>1178</v>
      </c>
      <c r="E751" s="202">
        <v>6500</v>
      </c>
      <c r="F751" s="195">
        <f t="shared" si="186"/>
        <v>3250</v>
      </c>
      <c r="G751" s="203">
        <v>1</v>
      </c>
      <c r="H751" s="197">
        <f t="shared" si="187"/>
        <v>200</v>
      </c>
      <c r="I751" s="206">
        <v>20</v>
      </c>
      <c r="J751" s="254">
        <v>6620</v>
      </c>
      <c r="K751" s="296" t="s">
        <v>378</v>
      </c>
      <c r="L751" s="284">
        <v>6500</v>
      </c>
      <c r="M751" s="284"/>
    </row>
    <row r="752" spans="1:13" ht="22.5" customHeight="1">
      <c r="A752" s="213" t="s">
        <v>60</v>
      </c>
      <c r="B752" s="199">
        <v>45797</v>
      </c>
      <c r="C752" s="204" t="s">
        <v>1194</v>
      </c>
      <c r="D752" s="205" t="s">
        <v>1195</v>
      </c>
      <c r="E752" s="202">
        <v>6500</v>
      </c>
      <c r="F752" s="195">
        <f t="shared" ref="F752" si="188">SUM(E752*0.5)</f>
        <v>3250</v>
      </c>
      <c r="G752" s="203">
        <v>1</v>
      </c>
      <c r="H752" s="197">
        <f t="shared" ref="H752" si="189">SUM(G752*200)</f>
        <v>200</v>
      </c>
      <c r="I752" s="206">
        <v>20</v>
      </c>
      <c r="J752" s="254">
        <v>6620</v>
      </c>
      <c r="K752" s="295" t="s">
        <v>1196</v>
      </c>
      <c r="L752" s="284">
        <v>6500</v>
      </c>
      <c r="M752" s="284"/>
    </row>
    <row r="753" spans="1:13" ht="22.5" customHeight="1">
      <c r="A753" s="214" t="s">
        <v>63</v>
      </c>
      <c r="B753" s="199">
        <v>45810</v>
      </c>
      <c r="C753" s="204" t="s">
        <v>1211</v>
      </c>
      <c r="D753" s="205" t="s">
        <v>1184</v>
      </c>
      <c r="E753" s="206">
        <v>9000</v>
      </c>
      <c r="F753" s="195">
        <f t="shared" ref="F753:F758" si="190">SUM(E753*0.5)</f>
        <v>4500</v>
      </c>
      <c r="G753" s="203">
        <v>2</v>
      </c>
      <c r="H753" s="197">
        <f t="shared" ref="H753:H758" si="191">SUM(G753*200)</f>
        <v>400</v>
      </c>
      <c r="I753" s="206">
        <v>20</v>
      </c>
      <c r="J753" s="282">
        <v>9420</v>
      </c>
      <c r="K753" s="288" t="s">
        <v>584</v>
      </c>
      <c r="L753" s="291">
        <v>9000</v>
      </c>
      <c r="M753" s="291"/>
    </row>
    <row r="754" spans="1:13" ht="22.5" customHeight="1">
      <c r="A754" s="214" t="s">
        <v>67</v>
      </c>
      <c r="B754" s="199">
        <v>45805</v>
      </c>
      <c r="C754" s="204" t="s">
        <v>1200</v>
      </c>
      <c r="D754" s="205" t="s">
        <v>1177</v>
      </c>
      <c r="E754" s="206">
        <v>8500</v>
      </c>
      <c r="F754" s="195">
        <f t="shared" si="190"/>
        <v>4250</v>
      </c>
      <c r="G754" s="203">
        <v>2</v>
      </c>
      <c r="H754" s="197">
        <f t="shared" si="191"/>
        <v>400</v>
      </c>
      <c r="I754" s="206">
        <v>20</v>
      </c>
      <c r="J754" s="282">
        <v>8700</v>
      </c>
      <c r="K754" s="295" t="s">
        <v>1074</v>
      </c>
      <c r="L754" s="284">
        <v>8500</v>
      </c>
      <c r="M754" s="284"/>
    </row>
    <row r="755" spans="1:13" ht="22.5" customHeight="1">
      <c r="A755" s="214" t="s">
        <v>71</v>
      </c>
      <c r="B755" s="199">
        <v>45808</v>
      </c>
      <c r="C755" s="204" t="s">
        <v>1208</v>
      </c>
      <c r="D755" s="205" t="s">
        <v>1185</v>
      </c>
      <c r="E755" s="206">
        <v>8500</v>
      </c>
      <c r="F755" s="195">
        <f t="shared" si="190"/>
        <v>4250</v>
      </c>
      <c r="G755" s="203">
        <v>2</v>
      </c>
      <c r="H755" s="197">
        <f t="shared" si="191"/>
        <v>400</v>
      </c>
      <c r="I755" s="206">
        <v>20</v>
      </c>
      <c r="J755" s="282">
        <v>8920</v>
      </c>
      <c r="K755" s="288" t="s">
        <v>383</v>
      </c>
      <c r="L755" s="291">
        <v>8500</v>
      </c>
      <c r="M755" s="291"/>
    </row>
    <row r="756" spans="1:13" ht="22.5" customHeight="1">
      <c r="A756" s="214" t="s">
        <v>74</v>
      </c>
      <c r="B756" s="199">
        <v>45808</v>
      </c>
      <c r="C756" s="204" t="s">
        <v>1207</v>
      </c>
      <c r="D756" s="205" t="s">
        <v>1180</v>
      </c>
      <c r="E756" s="206">
        <v>8000</v>
      </c>
      <c r="F756" s="195">
        <f t="shared" si="190"/>
        <v>4000</v>
      </c>
      <c r="G756" s="203">
        <v>2</v>
      </c>
      <c r="H756" s="197">
        <f t="shared" si="191"/>
        <v>400</v>
      </c>
      <c r="I756" s="206">
        <v>20</v>
      </c>
      <c r="J756" s="282">
        <f>SUM(E756,H756:I756)</f>
        <v>8420</v>
      </c>
      <c r="K756" s="288" t="s">
        <v>76</v>
      </c>
      <c r="L756" s="291">
        <v>8000</v>
      </c>
      <c r="M756" s="291"/>
    </row>
    <row r="757" spans="1:13" ht="22.5" customHeight="1">
      <c r="A757" s="214" t="s">
        <v>77</v>
      </c>
      <c r="B757" s="199">
        <v>45791</v>
      </c>
      <c r="C757" s="207" t="s">
        <v>1193</v>
      </c>
      <c r="D757" s="205" t="s">
        <v>1179</v>
      </c>
      <c r="E757" s="206">
        <v>8000</v>
      </c>
      <c r="F757" s="195">
        <f t="shared" si="190"/>
        <v>4000</v>
      </c>
      <c r="G757" s="203">
        <v>2</v>
      </c>
      <c r="H757" s="197">
        <f t="shared" si="191"/>
        <v>400</v>
      </c>
      <c r="I757" s="206">
        <v>20</v>
      </c>
      <c r="J757" s="282">
        <f>SUM(E757,H757:I757)</f>
        <v>8420</v>
      </c>
      <c r="K757" s="288" t="s">
        <v>340</v>
      </c>
      <c r="L757" s="291">
        <v>8000</v>
      </c>
      <c r="M757" s="291"/>
    </row>
    <row r="758" spans="1:13" ht="22.5" customHeight="1">
      <c r="A758" s="214" t="s">
        <v>81</v>
      </c>
      <c r="B758" s="199">
        <v>45805</v>
      </c>
      <c r="C758" s="207" t="s">
        <v>1197</v>
      </c>
      <c r="D758" s="177" t="s">
        <v>1186</v>
      </c>
      <c r="E758" s="209">
        <v>6000</v>
      </c>
      <c r="F758" s="195">
        <f t="shared" si="190"/>
        <v>3000</v>
      </c>
      <c r="G758" s="210">
        <v>1</v>
      </c>
      <c r="H758" s="197">
        <f t="shared" si="191"/>
        <v>200</v>
      </c>
      <c r="I758" s="206">
        <v>20</v>
      </c>
      <c r="J758" s="282">
        <v>6220</v>
      </c>
      <c r="K758" s="295" t="s">
        <v>83</v>
      </c>
      <c r="L758" s="291">
        <v>6000</v>
      </c>
      <c r="M758" s="291"/>
    </row>
    <row r="759" spans="1:13" ht="22.5" customHeight="1">
      <c r="A759" s="215" t="s">
        <v>84</v>
      </c>
      <c r="B759" s="216"/>
      <c r="C759" s="217" t="s">
        <v>162</v>
      </c>
      <c r="D759" s="218"/>
      <c r="E759" s="219"/>
      <c r="F759" s="195"/>
      <c r="G759" s="220"/>
      <c r="H759" s="197"/>
      <c r="I759" s="219"/>
      <c r="J759" s="303"/>
      <c r="K759" s="304"/>
      <c r="L759" s="305">
        <v>6000</v>
      </c>
      <c r="M759" s="305"/>
    </row>
    <row r="760" spans="1:13" ht="22.5" customHeight="1" thickBot="1">
      <c r="A760" s="221"/>
      <c r="B760" s="222"/>
      <c r="C760" s="223"/>
      <c r="D760" s="224"/>
      <c r="E760" s="225">
        <f>SUM(E738:E759)</f>
        <v>151250</v>
      </c>
      <c r="F760" s="226">
        <f>SUM(F738:F759)</f>
        <v>75625</v>
      </c>
      <c r="G760" s="225">
        <f t="shared" ref="G760:J760" si="192">SUM(G738:G759)</f>
        <v>30</v>
      </c>
      <c r="H760" s="227">
        <f t="shared" si="192"/>
        <v>6000</v>
      </c>
      <c r="I760" s="225">
        <f t="shared" si="192"/>
        <v>380</v>
      </c>
      <c r="J760" s="227">
        <f t="shared" si="192"/>
        <v>156890</v>
      </c>
      <c r="K760" s="306"/>
      <c r="L760" s="307">
        <f>SUM(L738:L759)</f>
        <v>155000</v>
      </c>
      <c r="M760" s="307"/>
    </row>
    <row r="761" spans="1:13" ht="22.5" customHeight="1">
      <c r="A761" s="228" t="s">
        <v>88</v>
      </c>
      <c r="B761" s="229"/>
      <c r="C761" s="230"/>
      <c r="D761" s="205"/>
      <c r="E761" s="195"/>
      <c r="F761" s="195"/>
      <c r="G761" s="231"/>
      <c r="H761" s="195"/>
      <c r="I761" s="195"/>
      <c r="J761" s="230"/>
      <c r="K761" s="309"/>
      <c r="L761" s="291"/>
      <c r="M761" s="291"/>
    </row>
    <row r="762" spans="1:13" ht="22.5" customHeight="1">
      <c r="A762" s="176" t="s">
        <v>89</v>
      </c>
      <c r="B762" s="199">
        <v>45793</v>
      </c>
      <c r="C762" s="204" t="s">
        <v>90</v>
      </c>
      <c r="D762" s="205" t="s">
        <v>1187</v>
      </c>
      <c r="E762" s="206">
        <v>10000</v>
      </c>
      <c r="F762" s="195"/>
      <c r="G762" s="232">
        <v>2</v>
      </c>
      <c r="H762" s="197">
        <f t="shared" ref="H762:H766" si="193">SUM(G762*200)</f>
        <v>400</v>
      </c>
      <c r="I762" s="206">
        <v>20</v>
      </c>
      <c r="J762" s="282">
        <v>10420</v>
      </c>
      <c r="K762" s="288" t="s">
        <v>92</v>
      </c>
      <c r="L762" s="291">
        <v>10000</v>
      </c>
      <c r="M762" s="291"/>
    </row>
    <row r="763" spans="1:13" ht="22.5" customHeight="1">
      <c r="A763" s="176" t="s">
        <v>93</v>
      </c>
      <c r="B763" s="199">
        <v>45801</v>
      </c>
      <c r="C763" s="207" t="s">
        <v>94</v>
      </c>
      <c r="D763" s="177" t="s">
        <v>1188</v>
      </c>
      <c r="E763" s="212">
        <v>10000</v>
      </c>
      <c r="F763" s="233"/>
      <c r="G763" s="210">
        <v>2</v>
      </c>
      <c r="H763" s="197">
        <f t="shared" si="193"/>
        <v>400</v>
      </c>
      <c r="I763" s="202">
        <v>20</v>
      </c>
      <c r="J763" s="282">
        <v>10420</v>
      </c>
      <c r="K763" s="310" t="s">
        <v>96</v>
      </c>
      <c r="L763" s="284">
        <v>6000</v>
      </c>
      <c r="M763" s="284"/>
    </row>
    <row r="764" spans="1:13" ht="22.5" customHeight="1">
      <c r="A764" s="176" t="s">
        <v>97</v>
      </c>
      <c r="B764" s="199">
        <v>45801</v>
      </c>
      <c r="C764" s="204" t="s">
        <v>98</v>
      </c>
      <c r="D764" s="205" t="s">
        <v>1181</v>
      </c>
      <c r="E764" s="234">
        <v>12000</v>
      </c>
      <c r="F764" s="235"/>
      <c r="G764" s="232">
        <v>2</v>
      </c>
      <c r="H764" s="197">
        <f t="shared" si="193"/>
        <v>400</v>
      </c>
      <c r="I764" s="206">
        <v>20</v>
      </c>
      <c r="J764" s="282">
        <v>12400</v>
      </c>
      <c r="K764" s="288" t="s">
        <v>99</v>
      </c>
      <c r="L764" s="291">
        <v>12000</v>
      </c>
      <c r="M764" s="291"/>
    </row>
    <row r="765" spans="1:13" ht="22.5" customHeight="1">
      <c r="A765" s="176" t="s">
        <v>100</v>
      </c>
      <c r="B765" s="199">
        <v>45790</v>
      </c>
      <c r="C765" s="236" t="s">
        <v>1213</v>
      </c>
      <c r="D765" s="205" t="s">
        <v>1191</v>
      </c>
      <c r="E765" s="206">
        <v>12000</v>
      </c>
      <c r="F765" s="195"/>
      <c r="G765" s="232">
        <v>4</v>
      </c>
      <c r="H765" s="197">
        <f t="shared" si="193"/>
        <v>800</v>
      </c>
      <c r="I765" s="206">
        <v>20</v>
      </c>
      <c r="J765" s="282">
        <v>12820</v>
      </c>
      <c r="K765" s="311" t="s">
        <v>1214</v>
      </c>
      <c r="L765" s="291">
        <v>12000</v>
      </c>
      <c r="M765" s="291"/>
    </row>
    <row r="766" spans="1:13" ht="22.5" customHeight="1">
      <c r="A766" s="176" t="s">
        <v>104</v>
      </c>
      <c r="B766" s="339">
        <v>45811</v>
      </c>
      <c r="C766" s="237" t="s">
        <v>105</v>
      </c>
      <c r="D766" s="205" t="s">
        <v>1189</v>
      </c>
      <c r="E766" s="206">
        <v>12000</v>
      </c>
      <c r="F766" s="195"/>
      <c r="G766" s="238">
        <v>3</v>
      </c>
      <c r="H766" s="197">
        <f t="shared" si="193"/>
        <v>600</v>
      </c>
      <c r="I766" s="219">
        <v>20</v>
      </c>
      <c r="J766" s="282">
        <v>12620</v>
      </c>
      <c r="K766" s="311" t="s">
        <v>107</v>
      </c>
      <c r="L766" s="291">
        <v>12000</v>
      </c>
      <c r="M766" s="291"/>
    </row>
    <row r="767" spans="1:13" ht="22.5" customHeight="1" thickBot="1">
      <c r="A767" s="239"/>
      <c r="B767" s="240"/>
      <c r="C767" s="241" t="s">
        <v>108</v>
      </c>
      <c r="D767" s="242"/>
      <c r="E767" s="243">
        <f>SUM(E762:E765)</f>
        <v>44000</v>
      </c>
      <c r="F767" s="226"/>
      <c r="G767" s="226">
        <f>SUM(G762:G765)</f>
        <v>10</v>
      </c>
      <c r="H767" s="226">
        <f>SUM(H762:H765)</f>
        <v>2000</v>
      </c>
      <c r="I767" s="243">
        <f>SUM(I762:I765)</f>
        <v>80</v>
      </c>
      <c r="J767" s="226">
        <f>SUM(J762:J765)</f>
        <v>46060</v>
      </c>
      <c r="K767" s="306"/>
      <c r="L767" s="312">
        <f>SUM(L762:L766)</f>
        <v>52000</v>
      </c>
      <c r="M767" s="312"/>
    </row>
    <row r="768" spans="1:13" ht="22.5" customHeight="1">
      <c r="A768" s="228" t="s">
        <v>109</v>
      </c>
      <c r="B768" s="244"/>
      <c r="C768" s="245"/>
      <c r="D768" s="205"/>
      <c r="E768" s="195"/>
      <c r="F768" s="195"/>
      <c r="G768" s="231"/>
      <c r="H768" s="195"/>
      <c r="I768" s="195"/>
      <c r="J768" s="195"/>
      <c r="K768" s="309"/>
      <c r="L768" s="313"/>
      <c r="M768" s="313"/>
    </row>
    <row r="769" spans="1:13" ht="22.5" customHeight="1" thickBot="1">
      <c r="A769" s="246" t="s">
        <v>110</v>
      </c>
      <c r="B769" s="247"/>
      <c r="C769" s="248" t="s">
        <v>111</v>
      </c>
      <c r="D769" s="242"/>
      <c r="E769" s="243"/>
      <c r="F769" s="226"/>
      <c r="G769" s="249"/>
      <c r="H769" s="226"/>
      <c r="I769" s="243"/>
      <c r="J769" s="226"/>
      <c r="K769" s="306"/>
      <c r="L769" s="312"/>
      <c r="M769" s="312"/>
    </row>
    <row r="770" spans="1:13" ht="22.5" customHeight="1">
      <c r="A770" s="228" t="s">
        <v>112</v>
      </c>
      <c r="B770" s="250"/>
      <c r="C770" s="245"/>
      <c r="D770" s="205"/>
      <c r="E770" s="195"/>
      <c r="F770" s="195"/>
      <c r="G770" s="231"/>
      <c r="H770" s="195"/>
      <c r="I770" s="195"/>
      <c r="J770" s="195"/>
      <c r="K770" s="309"/>
      <c r="L770" s="313"/>
      <c r="M770" s="313"/>
    </row>
    <row r="771" spans="1:13" ht="22.5" customHeight="1">
      <c r="A771" s="176" t="s">
        <v>113</v>
      </c>
      <c r="B771" s="199">
        <v>45783</v>
      </c>
      <c r="C771" s="251" t="s">
        <v>114</v>
      </c>
      <c r="D771" s="177" t="s">
        <v>1179</v>
      </c>
      <c r="E771" s="206">
        <v>12600</v>
      </c>
      <c r="F771" s="230"/>
      <c r="G771" s="209">
        <v>2</v>
      </c>
      <c r="H771" s="197">
        <f t="shared" ref="H771:H773" si="194">SUM(G771*200)</f>
        <v>400</v>
      </c>
      <c r="I771" s="314">
        <v>20</v>
      </c>
      <c r="J771" s="282">
        <v>12400</v>
      </c>
      <c r="K771" s="295" t="s">
        <v>115</v>
      </c>
      <c r="L771" s="291">
        <v>12000</v>
      </c>
      <c r="M771" s="291"/>
    </row>
    <row r="772" spans="1:13" ht="22.5" customHeight="1">
      <c r="A772" s="176" t="s">
        <v>116</v>
      </c>
      <c r="B772" s="199">
        <v>45781</v>
      </c>
      <c r="C772" s="252" t="s">
        <v>117</v>
      </c>
      <c r="D772" s="205" t="s">
        <v>1190</v>
      </c>
      <c r="E772" s="206">
        <v>7000</v>
      </c>
      <c r="F772" s="195"/>
      <c r="G772" s="209">
        <v>1</v>
      </c>
      <c r="H772" s="197">
        <f t="shared" si="194"/>
        <v>200</v>
      </c>
      <c r="I772" s="314">
        <v>20</v>
      </c>
      <c r="J772" s="282">
        <v>7220</v>
      </c>
      <c r="K772" s="288" t="s">
        <v>119</v>
      </c>
      <c r="L772" s="291">
        <v>7000</v>
      </c>
      <c r="M772" s="291"/>
    </row>
    <row r="773" spans="1:13" ht="22.5" customHeight="1">
      <c r="A773" s="176" t="s">
        <v>120</v>
      </c>
      <c r="B773" s="199">
        <v>45805</v>
      </c>
      <c r="C773" s="253" t="s">
        <v>121</v>
      </c>
      <c r="D773" s="177" t="s">
        <v>1180</v>
      </c>
      <c r="E773" s="209">
        <v>10000</v>
      </c>
      <c r="F773" s="254"/>
      <c r="G773" s="209">
        <v>2</v>
      </c>
      <c r="H773" s="197">
        <f t="shared" si="194"/>
        <v>400</v>
      </c>
      <c r="I773" s="315">
        <v>20</v>
      </c>
      <c r="J773" s="254">
        <v>10420</v>
      </c>
      <c r="K773" s="316" t="s">
        <v>122</v>
      </c>
      <c r="L773" s="291">
        <v>10000</v>
      </c>
      <c r="M773" s="291"/>
    </row>
    <row r="774" spans="1:13" ht="22.5" customHeight="1" thickBot="1">
      <c r="A774" s="246"/>
      <c r="B774" s="247"/>
      <c r="C774" s="255"/>
      <c r="D774" s="242"/>
      <c r="E774" s="256">
        <f>SUM(E771:E773)</f>
        <v>29600</v>
      </c>
      <c r="F774" s="257"/>
      <c r="G774" s="256">
        <f>SUM(G771:G773)</f>
        <v>5</v>
      </c>
      <c r="H774" s="257">
        <f>SUM(H771:H773)</f>
        <v>1000</v>
      </c>
      <c r="I774" s="257">
        <f>SUM(I771:I773)</f>
        <v>60</v>
      </c>
      <c r="J774" s="257">
        <f>SUM(J771:J773)</f>
        <v>30040</v>
      </c>
      <c r="K774" s="317"/>
      <c r="L774" s="312">
        <f>SUM(L771:L773)</f>
        <v>29000</v>
      </c>
      <c r="M774" s="312"/>
    </row>
    <row r="775" spans="1:13" ht="22.5" customHeight="1">
      <c r="B775" s="244"/>
      <c r="C775" s="80"/>
      <c r="D775" s="258"/>
      <c r="E775" s="259">
        <f>SUM(E760,E767,E769,E774)</f>
        <v>224850</v>
      </c>
      <c r="F775" s="260"/>
      <c r="G775" s="259">
        <f>SUM(G760,G767,G769,G774)</f>
        <v>45</v>
      </c>
      <c r="H775" s="259">
        <f>SUM(H760,H767,H769,H774)</f>
        <v>9000</v>
      </c>
      <c r="I775" s="318">
        <f>SUM(I760,I767,I769,I774)</f>
        <v>520</v>
      </c>
      <c r="J775" s="259">
        <f>SUM(J760,J767,J769,J774)</f>
        <v>232990</v>
      </c>
      <c r="K775" s="319"/>
      <c r="L775" s="291"/>
      <c r="M775" s="291"/>
    </row>
    <row r="776" spans="1:13" ht="22.5" customHeight="1">
      <c r="A776" s="228" t="s">
        <v>123</v>
      </c>
      <c r="B776" s="261"/>
      <c r="C776" s="262"/>
      <c r="D776" s="15"/>
      <c r="E776" s="195"/>
      <c r="F776" s="263" t="s">
        <v>124</v>
      </c>
      <c r="G776" s="264"/>
      <c r="H776" s="195"/>
      <c r="I776" s="195"/>
      <c r="J776" s="230"/>
      <c r="K776" s="309"/>
      <c r="L776" s="284"/>
      <c r="M776" s="284"/>
    </row>
    <row r="777" spans="1:13" ht="22.5" customHeight="1">
      <c r="A777" s="176" t="s">
        <v>125</v>
      </c>
      <c r="B777" s="199">
        <v>45795</v>
      </c>
      <c r="C777" s="265" t="s">
        <v>126</v>
      </c>
      <c r="D777" s="205" t="s">
        <v>1191</v>
      </c>
      <c r="E777" s="202">
        <v>5000</v>
      </c>
      <c r="F777" s="266">
        <v>325</v>
      </c>
      <c r="G777" s="203">
        <v>2</v>
      </c>
      <c r="H777" s="266">
        <f t="shared" ref="H777:H778" si="195">SUM(G777*200)</f>
        <v>400</v>
      </c>
      <c r="I777" s="202">
        <v>20</v>
      </c>
      <c r="J777" s="282">
        <f>SUM(E777,F777,H777,I777)</f>
        <v>5745</v>
      </c>
      <c r="K777" s="319" t="s">
        <v>128</v>
      </c>
      <c r="L777" s="284">
        <v>5000</v>
      </c>
      <c r="M777" s="284"/>
    </row>
    <row r="778" spans="1:13" ht="22.5" customHeight="1">
      <c r="A778" s="176" t="s">
        <v>129</v>
      </c>
      <c r="B778" s="199">
        <v>45812</v>
      </c>
      <c r="C778" s="265" t="s">
        <v>130</v>
      </c>
      <c r="D778" s="205" t="s">
        <v>1192</v>
      </c>
      <c r="E778" s="206">
        <v>5500</v>
      </c>
      <c r="F778" s="195"/>
      <c r="G778" s="203">
        <v>1</v>
      </c>
      <c r="H778" s="266">
        <f t="shared" si="195"/>
        <v>200</v>
      </c>
      <c r="I778" s="206">
        <v>20</v>
      </c>
      <c r="J778" s="282">
        <f>SUM(E778,H778:I778)</f>
        <v>5720</v>
      </c>
      <c r="K778" s="319" t="s">
        <v>132</v>
      </c>
      <c r="L778" s="291">
        <v>5500</v>
      </c>
      <c r="M778" s="291"/>
    </row>
    <row r="779" spans="1:13" ht="22.5" customHeight="1" thickBot="1">
      <c r="A779" s="267" t="s">
        <v>133</v>
      </c>
      <c r="B779" s="268"/>
      <c r="C779" s="269"/>
      <c r="D779" s="242"/>
      <c r="E779" s="270">
        <f>SUM(E777:E778)</f>
        <v>10500</v>
      </c>
      <c r="F779" s="226">
        <f t="shared" ref="F779:I779" si="196">SUM(F777:F778)</f>
        <v>325</v>
      </c>
      <c r="G779" s="243">
        <f t="shared" si="196"/>
        <v>3</v>
      </c>
      <c r="H779" s="226">
        <f t="shared" si="196"/>
        <v>600</v>
      </c>
      <c r="I779" s="320">
        <f t="shared" si="196"/>
        <v>40</v>
      </c>
      <c r="J779" s="321">
        <f>SUM(F779,H779,I779,)</f>
        <v>965</v>
      </c>
      <c r="K779" s="322"/>
      <c r="L779" s="322"/>
      <c r="M779" s="284"/>
    </row>
    <row r="780" spans="1:13" ht="22.5" customHeight="1">
      <c r="E780" s="271" t="s">
        <v>134</v>
      </c>
      <c r="F780" s="272">
        <f>SUM(F775,F779)</f>
        <v>325</v>
      </c>
      <c r="H780" s="272">
        <f>SUM(H775,H779)</f>
        <v>9600</v>
      </c>
      <c r="I780" s="324">
        <f>SUM(I775,I779)</f>
        <v>560</v>
      </c>
      <c r="J780" s="325" t="s">
        <v>135</v>
      </c>
      <c r="M780" s="284"/>
    </row>
    <row r="781" spans="1:13" ht="22.5" customHeight="1">
      <c r="D781" s="326">
        <f>SUM(E281,E325,E370,E415,E460,E505,E550,E595,E640,E685,E730,E775)</f>
        <v>468850</v>
      </c>
      <c r="E781" s="326">
        <f>SUM(E266,E310,E355,E406,E445,E490,E535,E580,E625,E670,E715,E760)</f>
        <v>202850</v>
      </c>
      <c r="M781" s="291"/>
    </row>
    <row r="782" spans="1:13" ht="22.5" customHeight="1"/>
    <row r="783" spans="1:13" ht="22.5" customHeight="1" thickBot="1">
      <c r="A783" s="185" t="s">
        <v>8</v>
      </c>
      <c r="B783" s="348" t="s">
        <v>1215</v>
      </c>
      <c r="C783" s="187"/>
      <c r="D783" s="187"/>
      <c r="E783" s="187"/>
      <c r="F783" s="273"/>
      <c r="G783" s="189"/>
      <c r="H783" s="273"/>
      <c r="I783" s="187"/>
      <c r="J783" s="187"/>
      <c r="K783" s="187"/>
      <c r="L783" s="187"/>
    </row>
    <row r="784" spans="1:13" ht="22.5" customHeight="1">
      <c r="A784" s="190" t="s">
        <v>10</v>
      </c>
      <c r="B784" s="191">
        <v>45868</v>
      </c>
      <c r="C784" s="192" t="s">
        <v>1253</v>
      </c>
      <c r="D784" s="193" t="s">
        <v>1216</v>
      </c>
      <c r="E784" s="194">
        <v>8000</v>
      </c>
      <c r="F784" s="195">
        <f>SUM(E784*0.5)</f>
        <v>4000</v>
      </c>
      <c r="G784" s="196">
        <v>1</v>
      </c>
      <c r="H784" s="197">
        <f t="shared" ref="H784:H786" si="197">SUM(G784*200)</f>
        <v>200</v>
      </c>
      <c r="I784" s="194">
        <v>20</v>
      </c>
      <c r="J784" s="279">
        <v>8220</v>
      </c>
      <c r="K784" s="280" t="s">
        <v>13</v>
      </c>
      <c r="L784" s="281">
        <v>8000</v>
      </c>
    </row>
    <row r="785" spans="1:12" ht="22.5" customHeight="1">
      <c r="A785" s="198" t="s">
        <v>14</v>
      </c>
      <c r="B785" s="199">
        <v>45838</v>
      </c>
      <c r="C785" s="200" t="s">
        <v>1248</v>
      </c>
      <c r="D785" s="201" t="s">
        <v>1217</v>
      </c>
      <c r="E785" s="202">
        <v>8500</v>
      </c>
      <c r="F785" s="195">
        <f>SUM(E785*0.5)</f>
        <v>4250</v>
      </c>
      <c r="G785" s="203">
        <v>3</v>
      </c>
      <c r="H785" s="197">
        <f t="shared" si="197"/>
        <v>600</v>
      </c>
      <c r="I785" s="206">
        <v>20</v>
      </c>
      <c r="J785" s="282">
        <v>8620</v>
      </c>
      <c r="K785" s="283" t="s">
        <v>314</v>
      </c>
      <c r="L785" s="284">
        <v>8500</v>
      </c>
    </row>
    <row r="786" spans="1:12" ht="22.5" customHeight="1">
      <c r="A786" s="190" t="s">
        <v>18</v>
      </c>
      <c r="B786" s="199">
        <v>45838</v>
      </c>
      <c r="C786" s="204" t="s">
        <v>1252</v>
      </c>
      <c r="D786" s="205" t="s">
        <v>1218</v>
      </c>
      <c r="E786" s="202">
        <v>8000</v>
      </c>
      <c r="F786" s="195">
        <f t="shared" ref="F786:F787" si="198">SUM(E786*0.5)</f>
        <v>4000</v>
      </c>
      <c r="G786" s="203">
        <v>1</v>
      </c>
      <c r="H786" s="197">
        <f t="shared" si="197"/>
        <v>200</v>
      </c>
      <c r="I786" s="206">
        <v>20</v>
      </c>
      <c r="J786" s="282">
        <f>SUM(E786,H786:I786)</f>
        <v>8220</v>
      </c>
      <c r="K786" s="288" t="s">
        <v>21</v>
      </c>
      <c r="L786" s="284">
        <v>8000</v>
      </c>
    </row>
    <row r="787" spans="1:12" ht="22.5" customHeight="1">
      <c r="A787" s="190" t="s">
        <v>22</v>
      </c>
      <c r="B787" s="199">
        <v>45829</v>
      </c>
      <c r="C787" s="26" t="s">
        <v>1243</v>
      </c>
      <c r="D787" s="205" t="s">
        <v>1219</v>
      </c>
      <c r="E787" s="206">
        <v>7250</v>
      </c>
      <c r="F787" s="195">
        <f t="shared" si="198"/>
        <v>3625</v>
      </c>
      <c r="G787" s="203">
        <v>1</v>
      </c>
      <c r="H787" s="197">
        <f t="shared" ref="H787" si="199">SUM(G787*200)</f>
        <v>200</v>
      </c>
      <c r="I787" s="206">
        <v>20</v>
      </c>
      <c r="J787" s="282">
        <f>SUM(E787,H787:I787)</f>
        <v>7470</v>
      </c>
      <c r="K787" s="290" t="s">
        <v>25</v>
      </c>
      <c r="L787" s="291">
        <v>5000</v>
      </c>
    </row>
    <row r="788" spans="1:12" ht="22.5" customHeight="1">
      <c r="A788" s="190" t="s">
        <v>26</v>
      </c>
      <c r="B788" s="199"/>
      <c r="C788" s="207" t="s">
        <v>162</v>
      </c>
      <c r="D788" s="208"/>
      <c r="E788" s="209"/>
      <c r="F788" s="195"/>
      <c r="G788" s="210"/>
      <c r="H788" s="197"/>
      <c r="I788" s="209"/>
      <c r="J788" s="254"/>
      <c r="K788" s="24"/>
    </row>
    <row r="789" spans="1:12" ht="22.5" customHeight="1">
      <c r="A789" s="190" t="s">
        <v>30</v>
      </c>
      <c r="B789" s="199">
        <v>45814</v>
      </c>
      <c r="C789" s="355" t="s">
        <v>1235</v>
      </c>
      <c r="D789" s="205" t="s">
        <v>1236</v>
      </c>
      <c r="E789" s="209">
        <v>6500</v>
      </c>
      <c r="F789" s="195">
        <v>3250</v>
      </c>
      <c r="G789" s="210">
        <v>0</v>
      </c>
      <c r="H789" s="197">
        <v>200</v>
      </c>
      <c r="I789" s="209">
        <v>20</v>
      </c>
      <c r="J789" s="254">
        <v>6500</v>
      </c>
      <c r="K789" s="294" t="s">
        <v>1237</v>
      </c>
      <c r="L789" s="287">
        <v>6500</v>
      </c>
    </row>
    <row r="790" spans="1:12">
      <c r="A790" s="190" t="s">
        <v>33</v>
      </c>
      <c r="B790" s="199">
        <v>45837</v>
      </c>
      <c r="C790" s="204" t="s">
        <v>1247</v>
      </c>
      <c r="D790" s="205" t="s">
        <v>1221</v>
      </c>
      <c r="E790" s="202">
        <v>6000</v>
      </c>
      <c r="F790" s="195">
        <f t="shared" ref="F790:F798" si="200">SUM(E790*0.5)</f>
        <v>3000</v>
      </c>
      <c r="G790" s="210">
        <v>1</v>
      </c>
      <c r="H790" s="197">
        <f t="shared" ref="H790:H804" si="201">SUM(G790*200)</f>
        <v>200</v>
      </c>
      <c r="I790" s="202">
        <v>20</v>
      </c>
      <c r="J790" s="197">
        <v>6220</v>
      </c>
      <c r="K790" s="288" t="s">
        <v>17</v>
      </c>
      <c r="L790" s="284">
        <v>6000</v>
      </c>
    </row>
    <row r="791" spans="1:12">
      <c r="A791" s="190" t="s">
        <v>35</v>
      </c>
      <c r="B791" s="199">
        <v>45827</v>
      </c>
      <c r="C791" s="211" t="s">
        <v>1241</v>
      </c>
      <c r="D791" s="177" t="s">
        <v>1222</v>
      </c>
      <c r="E791" s="212">
        <v>6000</v>
      </c>
      <c r="F791" s="195">
        <f t="shared" si="200"/>
        <v>3000</v>
      </c>
      <c r="G791" s="210">
        <v>1</v>
      </c>
      <c r="H791" s="197">
        <f t="shared" si="201"/>
        <v>200</v>
      </c>
      <c r="I791" s="206">
        <v>20</v>
      </c>
      <c r="J791" s="282">
        <v>6220</v>
      </c>
      <c r="K791" s="295" t="s">
        <v>38</v>
      </c>
      <c r="L791" s="284">
        <v>6000</v>
      </c>
    </row>
    <row r="792" spans="1:12">
      <c r="A792" s="213" t="s">
        <v>39</v>
      </c>
      <c r="B792" s="199">
        <v>45837</v>
      </c>
      <c r="C792" s="14" t="s">
        <v>1246</v>
      </c>
      <c r="D792" s="205" t="s">
        <v>1220</v>
      </c>
      <c r="E792" s="202">
        <v>8000</v>
      </c>
      <c r="F792" s="195">
        <f t="shared" si="200"/>
        <v>4000</v>
      </c>
      <c r="G792" s="203">
        <v>1</v>
      </c>
      <c r="H792" s="197">
        <f t="shared" si="201"/>
        <v>200</v>
      </c>
      <c r="I792" s="202">
        <v>20</v>
      </c>
      <c r="J792" s="282">
        <f>SUM(E792,H792:I792)</f>
        <v>8220</v>
      </c>
      <c r="K792" s="288" t="s">
        <v>42</v>
      </c>
      <c r="L792" s="284">
        <v>8000</v>
      </c>
    </row>
    <row r="793" spans="1:12">
      <c r="A793" s="213" t="s">
        <v>43</v>
      </c>
      <c r="B793" s="199">
        <v>45837</v>
      </c>
      <c r="C793" s="204" t="s">
        <v>1245</v>
      </c>
      <c r="D793" s="14" t="s">
        <v>1223</v>
      </c>
      <c r="E793" s="202">
        <v>8000</v>
      </c>
      <c r="F793" s="195">
        <f t="shared" si="200"/>
        <v>4000</v>
      </c>
      <c r="G793" s="203">
        <v>2</v>
      </c>
      <c r="H793" s="197">
        <f t="shared" si="201"/>
        <v>400</v>
      </c>
      <c r="I793" s="206">
        <v>20</v>
      </c>
      <c r="J793" s="282">
        <f>SUM(E793,H793:I793)</f>
        <v>8420</v>
      </c>
      <c r="K793" s="288" t="s">
        <v>46</v>
      </c>
      <c r="L793" s="284">
        <v>8000</v>
      </c>
    </row>
    <row r="794" spans="1:12">
      <c r="A794" s="213" t="s">
        <v>47</v>
      </c>
      <c r="B794" s="199">
        <v>45838</v>
      </c>
      <c r="C794" s="204" t="s">
        <v>1249</v>
      </c>
      <c r="D794" s="205" t="s">
        <v>1224</v>
      </c>
      <c r="E794" s="202">
        <v>8000</v>
      </c>
      <c r="F794" s="195">
        <f t="shared" si="200"/>
        <v>4000</v>
      </c>
      <c r="G794" s="203">
        <v>2</v>
      </c>
      <c r="H794" s="197">
        <f t="shared" si="201"/>
        <v>400</v>
      </c>
      <c r="I794" s="202">
        <v>20</v>
      </c>
      <c r="J794" s="282">
        <v>8600</v>
      </c>
      <c r="K794" s="288" t="s">
        <v>50</v>
      </c>
      <c r="L794" s="291">
        <v>8000</v>
      </c>
    </row>
    <row r="795" spans="1:12">
      <c r="A795" s="213" t="s">
        <v>51</v>
      </c>
      <c r="B795" s="199">
        <v>45834</v>
      </c>
      <c r="C795" s="204" t="s">
        <v>1244</v>
      </c>
      <c r="D795" s="205" t="s">
        <v>1221</v>
      </c>
      <c r="E795" s="212">
        <v>8500</v>
      </c>
      <c r="F795" s="195">
        <f t="shared" si="200"/>
        <v>4250</v>
      </c>
      <c r="G795" s="210">
        <v>2</v>
      </c>
      <c r="H795" s="197">
        <f t="shared" si="201"/>
        <v>400</v>
      </c>
      <c r="I795" s="212">
        <v>20</v>
      </c>
      <c r="J795" s="282">
        <v>8920</v>
      </c>
      <c r="K795" s="295" t="s">
        <v>577</v>
      </c>
      <c r="L795" s="284">
        <v>8500</v>
      </c>
    </row>
    <row r="796" spans="1:12">
      <c r="A796" s="213" t="s">
        <v>55</v>
      </c>
      <c r="B796" s="199">
        <v>45839</v>
      </c>
      <c r="C796" s="204" t="s">
        <v>1255</v>
      </c>
      <c r="D796" s="205" t="s">
        <v>1224</v>
      </c>
      <c r="E796" s="202">
        <v>7500</v>
      </c>
      <c r="F796" s="195">
        <f t="shared" si="200"/>
        <v>3750</v>
      </c>
      <c r="G796" s="203">
        <v>2</v>
      </c>
      <c r="H796" s="197">
        <f t="shared" si="201"/>
        <v>400</v>
      </c>
      <c r="I796" s="206">
        <v>20</v>
      </c>
      <c r="J796" s="282">
        <v>7920</v>
      </c>
      <c r="K796" s="288" t="s">
        <v>57</v>
      </c>
      <c r="L796" s="284">
        <v>7500</v>
      </c>
    </row>
    <row r="797" spans="1:12">
      <c r="A797" s="213" t="s">
        <v>58</v>
      </c>
      <c r="B797" s="199">
        <v>45838</v>
      </c>
      <c r="C797" s="204" t="s">
        <v>1250</v>
      </c>
      <c r="D797" s="205" t="s">
        <v>1219</v>
      </c>
      <c r="E797" s="202">
        <v>6500</v>
      </c>
      <c r="F797" s="195">
        <f t="shared" si="200"/>
        <v>3250</v>
      </c>
      <c r="G797" s="203">
        <v>1</v>
      </c>
      <c r="H797" s="197">
        <f t="shared" si="201"/>
        <v>200</v>
      </c>
      <c r="I797" s="206">
        <v>20</v>
      </c>
      <c r="J797" s="254">
        <v>6620</v>
      </c>
      <c r="K797" s="296" t="s">
        <v>378</v>
      </c>
      <c r="L797" s="284">
        <v>6500</v>
      </c>
    </row>
    <row r="798" spans="1:12">
      <c r="A798" s="213" t="s">
        <v>60</v>
      </c>
      <c r="B798" s="199">
        <v>45829</v>
      </c>
      <c r="C798" s="204" t="s">
        <v>1242</v>
      </c>
      <c r="D798" s="205" t="s">
        <v>1225</v>
      </c>
      <c r="E798" s="202">
        <v>6500</v>
      </c>
      <c r="F798" s="195">
        <f t="shared" si="200"/>
        <v>3250</v>
      </c>
      <c r="G798" s="203">
        <v>1</v>
      </c>
      <c r="H798" s="197">
        <f t="shared" si="201"/>
        <v>200</v>
      </c>
      <c r="I798" s="206">
        <v>20</v>
      </c>
      <c r="J798" s="254">
        <v>6620</v>
      </c>
      <c r="K798" s="295" t="s">
        <v>1196</v>
      </c>
      <c r="L798" s="284">
        <v>6500</v>
      </c>
    </row>
    <row r="799" spans="1:12">
      <c r="A799" s="214" t="s">
        <v>63</v>
      </c>
      <c r="B799" s="199">
        <v>45839</v>
      </c>
      <c r="C799" s="204" t="s">
        <v>1254</v>
      </c>
      <c r="D799" s="205" t="s">
        <v>1226</v>
      </c>
      <c r="E799" s="206">
        <v>9000</v>
      </c>
      <c r="F799" s="195">
        <f t="shared" ref="F799:F804" si="202">SUM(E799*0.5)</f>
        <v>4500</v>
      </c>
      <c r="G799" s="203">
        <v>2</v>
      </c>
      <c r="H799" s="197">
        <f t="shared" si="201"/>
        <v>400</v>
      </c>
      <c r="I799" s="206">
        <v>20</v>
      </c>
      <c r="J799" s="282">
        <v>9420</v>
      </c>
      <c r="K799" s="288" t="s">
        <v>584</v>
      </c>
      <c r="L799" s="291">
        <v>9000</v>
      </c>
    </row>
    <row r="800" spans="1:12">
      <c r="A800" s="214" t="s">
        <v>67</v>
      </c>
      <c r="B800" s="199">
        <v>45840</v>
      </c>
      <c r="C800" s="204" t="s">
        <v>1256</v>
      </c>
      <c r="D800" s="205" t="s">
        <v>1218</v>
      </c>
      <c r="E800" s="206">
        <v>8500</v>
      </c>
      <c r="F800" s="195">
        <f t="shared" si="202"/>
        <v>4250</v>
      </c>
      <c r="G800" s="203">
        <v>2</v>
      </c>
      <c r="H800" s="197">
        <f t="shared" si="201"/>
        <v>400</v>
      </c>
      <c r="I800" s="206">
        <v>20</v>
      </c>
      <c r="J800" s="282">
        <v>8700</v>
      </c>
      <c r="K800" s="295" t="s">
        <v>1074</v>
      </c>
      <c r="L800" s="284">
        <v>8500</v>
      </c>
    </row>
    <row r="801" spans="1:12">
      <c r="A801" s="214" t="s">
        <v>71</v>
      </c>
      <c r="B801" s="199">
        <v>45841</v>
      </c>
      <c r="C801" s="204" t="s">
        <v>1257</v>
      </c>
      <c r="D801" s="205" t="s">
        <v>1227</v>
      </c>
      <c r="E801" s="206">
        <v>8500</v>
      </c>
      <c r="F801" s="195">
        <f t="shared" si="202"/>
        <v>4250</v>
      </c>
      <c r="G801" s="203">
        <v>2</v>
      </c>
      <c r="H801" s="197">
        <f t="shared" si="201"/>
        <v>400</v>
      </c>
      <c r="I801" s="206">
        <v>20</v>
      </c>
      <c r="J801" s="282">
        <v>8920</v>
      </c>
      <c r="K801" s="288" t="s">
        <v>383</v>
      </c>
      <c r="L801" s="291">
        <v>8500</v>
      </c>
    </row>
    <row r="802" spans="1:12">
      <c r="A802" s="214" t="s">
        <v>74</v>
      </c>
      <c r="B802" s="199">
        <v>45843</v>
      </c>
      <c r="C802" s="204" t="s">
        <v>1296</v>
      </c>
      <c r="D802" s="205" t="s">
        <v>1221</v>
      </c>
      <c r="E802" s="206">
        <v>8000</v>
      </c>
      <c r="F802" s="195">
        <f t="shared" si="202"/>
        <v>4000</v>
      </c>
      <c r="G802" s="203">
        <v>2</v>
      </c>
      <c r="H802" s="197">
        <f t="shared" si="201"/>
        <v>400</v>
      </c>
      <c r="I802" s="206">
        <v>20</v>
      </c>
      <c r="J802" s="282">
        <f>SUM(E802,H802:I802)</f>
        <v>8420</v>
      </c>
      <c r="K802" s="288" t="s">
        <v>76</v>
      </c>
      <c r="L802" s="291">
        <v>8000</v>
      </c>
    </row>
    <row r="803" spans="1:12">
      <c r="A803" s="214" t="s">
        <v>77</v>
      </c>
      <c r="B803" s="199">
        <v>45818</v>
      </c>
      <c r="C803" s="207" t="s">
        <v>1238</v>
      </c>
      <c r="D803" s="205" t="s">
        <v>1220</v>
      </c>
      <c r="E803" s="206">
        <v>8000</v>
      </c>
      <c r="F803" s="195">
        <f t="shared" si="202"/>
        <v>4000</v>
      </c>
      <c r="G803" s="203">
        <v>2</v>
      </c>
      <c r="H803" s="197">
        <f t="shared" si="201"/>
        <v>400</v>
      </c>
      <c r="I803" s="206">
        <v>20</v>
      </c>
      <c r="J803" s="282">
        <f>SUM(E803,H803:I803)</f>
        <v>8420</v>
      </c>
      <c r="K803" s="288" t="s">
        <v>340</v>
      </c>
      <c r="L803" s="291">
        <v>8000</v>
      </c>
    </row>
    <row r="804" spans="1:12">
      <c r="A804" s="214" t="s">
        <v>81</v>
      </c>
      <c r="B804" s="199">
        <v>45838</v>
      </c>
      <c r="C804" s="207" t="s">
        <v>1251</v>
      </c>
      <c r="D804" s="177" t="s">
        <v>1228</v>
      </c>
      <c r="E804" s="209">
        <v>6000</v>
      </c>
      <c r="F804" s="195">
        <f t="shared" si="202"/>
        <v>3000</v>
      </c>
      <c r="G804" s="210">
        <v>1</v>
      </c>
      <c r="H804" s="197">
        <f t="shared" si="201"/>
        <v>200</v>
      </c>
      <c r="I804" s="206">
        <v>20</v>
      </c>
      <c r="J804" s="282">
        <v>6220</v>
      </c>
      <c r="K804" s="295" t="s">
        <v>83</v>
      </c>
      <c r="L804" s="291">
        <v>6000</v>
      </c>
    </row>
    <row r="805" spans="1:12">
      <c r="A805" s="215" t="s">
        <v>84</v>
      </c>
      <c r="B805" s="216"/>
      <c r="C805" s="217" t="s">
        <v>162</v>
      </c>
      <c r="D805" s="218"/>
      <c r="E805" s="219"/>
      <c r="F805" s="195"/>
      <c r="G805" s="220"/>
      <c r="H805" s="197"/>
      <c r="I805" s="219"/>
      <c r="J805" s="303"/>
      <c r="K805" s="304"/>
      <c r="L805" s="305"/>
    </row>
    <row r="806" spans="1:12" ht="15.75" thickBot="1">
      <c r="A806" s="221"/>
      <c r="B806" s="222"/>
      <c r="C806" s="223"/>
      <c r="D806" s="224"/>
      <c r="E806" s="225">
        <f>SUM(E784:E805)</f>
        <v>151250</v>
      </c>
      <c r="F806" s="226">
        <f>SUM(F784:F805)</f>
        <v>75625</v>
      </c>
      <c r="G806" s="225">
        <f t="shared" ref="G806:J806" si="203">SUM(G784:G805)</f>
        <v>30</v>
      </c>
      <c r="H806" s="227">
        <f t="shared" si="203"/>
        <v>6200</v>
      </c>
      <c r="I806" s="225">
        <f t="shared" si="203"/>
        <v>400</v>
      </c>
      <c r="J806" s="227">
        <f t="shared" si="203"/>
        <v>156890</v>
      </c>
      <c r="K806" s="306"/>
      <c r="L806" s="307">
        <f>SUM(L784:L805)</f>
        <v>149000</v>
      </c>
    </row>
    <row r="807" spans="1:12">
      <c r="A807" s="228" t="s">
        <v>88</v>
      </c>
      <c r="B807" s="229"/>
      <c r="C807" s="230"/>
      <c r="D807" s="205"/>
      <c r="E807" s="195"/>
      <c r="F807" s="195"/>
      <c r="G807" s="231"/>
      <c r="H807" s="195"/>
      <c r="I807" s="195"/>
      <c r="J807" s="230"/>
      <c r="K807" s="309"/>
      <c r="L807" s="291"/>
    </row>
    <row r="808" spans="1:12">
      <c r="A808" s="176" t="s">
        <v>89</v>
      </c>
      <c r="B808" s="199">
        <v>45819</v>
      </c>
      <c r="C808" s="204" t="s">
        <v>90</v>
      </c>
      <c r="D808" s="205" t="s">
        <v>1229</v>
      </c>
      <c r="E808" s="206">
        <v>10000</v>
      </c>
      <c r="F808" s="195"/>
      <c r="G808" s="232">
        <v>2</v>
      </c>
      <c r="H808" s="197">
        <f t="shared" ref="H808:H812" si="204">SUM(G808*200)</f>
        <v>400</v>
      </c>
      <c r="I808" s="206">
        <v>20</v>
      </c>
      <c r="J808" s="282">
        <v>10420</v>
      </c>
      <c r="K808" s="288" t="s">
        <v>92</v>
      </c>
      <c r="L808" s="291">
        <v>10000</v>
      </c>
    </row>
    <row r="809" spans="1:12">
      <c r="A809" s="176" t="s">
        <v>93</v>
      </c>
      <c r="B809" s="199">
        <v>45829</v>
      </c>
      <c r="C809" s="207" t="s">
        <v>94</v>
      </c>
      <c r="D809" s="177" t="s">
        <v>1230</v>
      </c>
      <c r="E809" s="212">
        <v>10000</v>
      </c>
      <c r="F809" s="233"/>
      <c r="G809" s="210">
        <v>2</v>
      </c>
      <c r="H809" s="197">
        <f t="shared" si="204"/>
        <v>400</v>
      </c>
      <c r="I809" s="202">
        <v>20</v>
      </c>
      <c r="J809" s="282">
        <v>10420</v>
      </c>
      <c r="K809" s="310" t="s">
        <v>96</v>
      </c>
      <c r="L809" s="284">
        <v>6000</v>
      </c>
    </row>
    <row r="810" spans="1:12">
      <c r="A810" s="176" t="s">
        <v>97</v>
      </c>
      <c r="B810" s="199">
        <v>45822</v>
      </c>
      <c r="C810" s="204" t="s">
        <v>98</v>
      </c>
      <c r="D810" s="205" t="s">
        <v>1222</v>
      </c>
      <c r="E810" s="234">
        <v>12000</v>
      </c>
      <c r="F810" s="235"/>
      <c r="G810" s="232">
        <v>2</v>
      </c>
      <c r="H810" s="197">
        <f t="shared" si="204"/>
        <v>400</v>
      </c>
      <c r="I810" s="206">
        <v>20</v>
      </c>
      <c r="J810" s="282">
        <v>12400</v>
      </c>
      <c r="K810" s="288" t="s">
        <v>99</v>
      </c>
      <c r="L810" s="291">
        <v>12000</v>
      </c>
    </row>
    <row r="811" spans="1:12">
      <c r="A811" s="176" t="s">
        <v>100</v>
      </c>
      <c r="B811" s="199">
        <v>45838</v>
      </c>
      <c r="C811" s="236" t="s">
        <v>1213</v>
      </c>
      <c r="D811" s="205" t="s">
        <v>1231</v>
      </c>
      <c r="E811" s="206">
        <v>12000</v>
      </c>
      <c r="F811" s="195"/>
      <c r="G811" s="232">
        <v>4</v>
      </c>
      <c r="H811" s="197">
        <f t="shared" si="204"/>
        <v>800</v>
      </c>
      <c r="I811" s="206">
        <v>20</v>
      </c>
      <c r="J811" s="282">
        <v>12820</v>
      </c>
      <c r="K811" s="311" t="s">
        <v>1214</v>
      </c>
      <c r="L811" s="291">
        <v>12000</v>
      </c>
    </row>
    <row r="812" spans="1:12">
      <c r="A812" s="176" t="s">
        <v>104</v>
      </c>
      <c r="B812" s="339">
        <v>45841</v>
      </c>
      <c r="C812" s="237" t="s">
        <v>105</v>
      </c>
      <c r="D812" s="205" t="s">
        <v>1232</v>
      </c>
      <c r="E812" s="206">
        <v>12000</v>
      </c>
      <c r="F812" s="195"/>
      <c r="G812" s="238">
        <v>3</v>
      </c>
      <c r="H812" s="197">
        <f t="shared" si="204"/>
        <v>600</v>
      </c>
      <c r="I812" s="219">
        <v>20</v>
      </c>
      <c r="J812" s="282">
        <v>12620</v>
      </c>
      <c r="K812" s="311" t="s">
        <v>107</v>
      </c>
      <c r="L812" s="291">
        <v>12000</v>
      </c>
    </row>
    <row r="813" spans="1:12" ht="15.75" thickBot="1">
      <c r="A813" s="239"/>
      <c r="B813" s="240"/>
      <c r="C813" s="241" t="s">
        <v>108</v>
      </c>
      <c r="D813" s="242"/>
      <c r="E813" s="243">
        <f>SUM(E808:E811)</f>
        <v>44000</v>
      </c>
      <c r="F813" s="226"/>
      <c r="G813" s="226">
        <f>SUM(G808:G811)</f>
        <v>10</v>
      </c>
      <c r="H813" s="226">
        <f>SUM(H808:H811)</f>
        <v>2000</v>
      </c>
      <c r="I813" s="243">
        <f>SUM(I808:I811)</f>
        <v>80</v>
      </c>
      <c r="J813" s="226">
        <f>SUM(J808:J811)</f>
        <v>46060</v>
      </c>
      <c r="K813" s="306"/>
      <c r="L813" s="312">
        <f>SUM(L808:L812)</f>
        <v>52000</v>
      </c>
    </row>
    <row r="814" spans="1:12">
      <c r="A814" s="228" t="s">
        <v>109</v>
      </c>
      <c r="B814" s="244"/>
      <c r="C814" s="245"/>
      <c r="D814" s="205"/>
      <c r="E814" s="195"/>
      <c r="F814" s="195"/>
      <c r="G814" s="231"/>
      <c r="H814" s="195"/>
      <c r="I814" s="195"/>
      <c r="J814" s="195"/>
      <c r="K814" s="309"/>
      <c r="L814" s="313"/>
    </row>
    <row r="815" spans="1:12" ht="15.75" thickBot="1">
      <c r="A815" s="246" t="s">
        <v>110</v>
      </c>
      <c r="B815" s="247"/>
      <c r="C815" s="248" t="s">
        <v>111</v>
      </c>
      <c r="D815" s="242"/>
      <c r="E815" s="243"/>
      <c r="F815" s="226"/>
      <c r="G815" s="249"/>
      <c r="H815" s="226"/>
      <c r="I815" s="243"/>
      <c r="J815" s="226"/>
      <c r="K815" s="306"/>
      <c r="L815" s="312"/>
    </row>
    <row r="816" spans="1:12">
      <c r="A816" s="228" t="s">
        <v>112</v>
      </c>
      <c r="B816" s="250"/>
      <c r="C816" s="245"/>
      <c r="D816" s="205"/>
      <c r="E816" s="195"/>
      <c r="F816" s="195"/>
      <c r="G816" s="231"/>
      <c r="H816" s="195"/>
      <c r="I816" s="195"/>
      <c r="J816" s="195"/>
      <c r="K816" s="309"/>
      <c r="L816" s="313"/>
    </row>
    <row r="817" spans="1:12">
      <c r="A817" s="176" t="s">
        <v>113</v>
      </c>
      <c r="B817" s="199">
        <v>45880</v>
      </c>
      <c r="C817" s="251" t="s">
        <v>114</v>
      </c>
      <c r="D817" s="177" t="s">
        <v>1220</v>
      </c>
      <c r="E817" s="206">
        <v>12600</v>
      </c>
      <c r="F817" s="230"/>
      <c r="G817" s="209">
        <v>2</v>
      </c>
      <c r="H817" s="197">
        <f t="shared" ref="H817:H819" si="205">SUM(G817*200)</f>
        <v>400</v>
      </c>
      <c r="I817" s="314">
        <v>20</v>
      </c>
      <c r="J817" s="282">
        <v>12400</v>
      </c>
      <c r="K817" s="295" t="s">
        <v>115</v>
      </c>
      <c r="L817" s="291">
        <v>12000</v>
      </c>
    </row>
    <row r="818" spans="1:12">
      <c r="A818" s="176" t="s">
        <v>116</v>
      </c>
      <c r="B818" s="199">
        <v>45818</v>
      </c>
      <c r="C818" s="252" t="s">
        <v>117</v>
      </c>
      <c r="D818" s="205" t="s">
        <v>1233</v>
      </c>
      <c r="E818" s="206">
        <v>7000</v>
      </c>
      <c r="F818" s="195"/>
      <c r="G818" s="209">
        <v>1</v>
      </c>
      <c r="H818" s="197">
        <f t="shared" si="205"/>
        <v>200</v>
      </c>
      <c r="I818" s="314">
        <v>20</v>
      </c>
      <c r="J818" s="282">
        <v>7220</v>
      </c>
      <c r="K818" s="288" t="s">
        <v>119</v>
      </c>
      <c r="L818" s="291">
        <v>7000</v>
      </c>
    </row>
    <row r="819" spans="1:12">
      <c r="A819" s="176" t="s">
        <v>120</v>
      </c>
      <c r="B819" s="199">
        <v>45838</v>
      </c>
      <c r="C819" s="253" t="s">
        <v>121</v>
      </c>
      <c r="D819" s="177" t="s">
        <v>1221</v>
      </c>
      <c r="E819" s="209">
        <v>10000</v>
      </c>
      <c r="F819" s="254"/>
      <c r="G819" s="209">
        <v>2</v>
      </c>
      <c r="H819" s="197">
        <f t="shared" si="205"/>
        <v>400</v>
      </c>
      <c r="I819" s="315">
        <v>20</v>
      </c>
      <c r="J819" s="254">
        <v>10420</v>
      </c>
      <c r="K819" s="316" t="s">
        <v>122</v>
      </c>
      <c r="L819" s="291">
        <v>10000</v>
      </c>
    </row>
    <row r="820" spans="1:12" ht="15.75" thickBot="1">
      <c r="A820" s="246"/>
      <c r="B820" s="247"/>
      <c r="C820" s="255"/>
      <c r="D820" s="242"/>
      <c r="E820" s="256">
        <f>SUM(E817:E819)</f>
        <v>29600</v>
      </c>
      <c r="F820" s="257"/>
      <c r="G820" s="256">
        <f>SUM(G817:G819)</f>
        <v>5</v>
      </c>
      <c r="H820" s="257">
        <f>SUM(H817:H819)</f>
        <v>1000</v>
      </c>
      <c r="I820" s="257">
        <f>SUM(I817:I819)</f>
        <v>60</v>
      </c>
      <c r="J820" s="257">
        <f>SUM(J817:J819)</f>
        <v>30040</v>
      </c>
      <c r="K820" s="317"/>
      <c r="L820" s="312">
        <f>SUM(L817:L819)</f>
        <v>29000</v>
      </c>
    </row>
    <row r="821" spans="1:12">
      <c r="B821" s="244"/>
      <c r="C821" s="80"/>
      <c r="D821" s="258"/>
      <c r="E821" s="259">
        <f>SUM(E806,E813,E815,E820)</f>
        <v>224850</v>
      </c>
      <c r="F821" s="260"/>
      <c r="G821" s="259">
        <f>SUM(G806,G813,G815,G820)</f>
        <v>45</v>
      </c>
      <c r="H821" s="259">
        <f>SUM(H806,H813,H815,H820)</f>
        <v>9200</v>
      </c>
      <c r="I821" s="318">
        <f>SUM(I806,I813,I815,I820)</f>
        <v>540</v>
      </c>
      <c r="J821" s="259">
        <f>SUM(J806,J813,J815,J820)</f>
        <v>232990</v>
      </c>
      <c r="K821" s="319"/>
      <c r="L821" s="291"/>
    </row>
    <row r="822" spans="1:12">
      <c r="A822" s="228" t="s">
        <v>123</v>
      </c>
      <c r="B822" s="261"/>
      <c r="C822" s="262"/>
      <c r="D822" s="15"/>
      <c r="E822" s="195"/>
      <c r="F822" s="263" t="s">
        <v>124</v>
      </c>
      <c r="G822" s="264"/>
      <c r="H822" s="195"/>
      <c r="I822" s="195"/>
      <c r="J822" s="230"/>
      <c r="K822" s="309"/>
      <c r="L822" s="284"/>
    </row>
    <row r="823" spans="1:12">
      <c r="A823" s="176" t="s">
        <v>125</v>
      </c>
      <c r="B823" s="199">
        <v>45829</v>
      </c>
      <c r="C823" s="265" t="s">
        <v>126</v>
      </c>
      <c r="D823" s="205" t="s">
        <v>1231</v>
      </c>
      <c r="E823" s="202">
        <v>5000</v>
      </c>
      <c r="F823" s="266">
        <v>325</v>
      </c>
      <c r="G823" s="203">
        <v>2</v>
      </c>
      <c r="H823" s="266">
        <f t="shared" ref="H823:H824" si="206">SUM(G823*200)</f>
        <v>400</v>
      </c>
      <c r="I823" s="202">
        <v>20</v>
      </c>
      <c r="J823" s="282">
        <f>SUM(E823,F823,H823,I823)</f>
        <v>5745</v>
      </c>
      <c r="K823" s="319" t="s">
        <v>128</v>
      </c>
      <c r="L823" s="284">
        <v>5000</v>
      </c>
    </row>
    <row r="824" spans="1:12">
      <c r="A824" s="176" t="s">
        <v>129</v>
      </c>
      <c r="B824" s="199">
        <v>45837</v>
      </c>
      <c r="C824" s="265" t="s">
        <v>130</v>
      </c>
      <c r="D824" s="205" t="s">
        <v>1234</v>
      </c>
      <c r="E824" s="206">
        <v>5500</v>
      </c>
      <c r="F824" s="195"/>
      <c r="G824" s="203">
        <v>1</v>
      </c>
      <c r="H824" s="266">
        <f t="shared" si="206"/>
        <v>200</v>
      </c>
      <c r="I824" s="206">
        <v>20</v>
      </c>
      <c r="J824" s="282">
        <f>SUM(E824,H824:I824)</f>
        <v>5720</v>
      </c>
      <c r="K824" s="319" t="s">
        <v>132</v>
      </c>
      <c r="L824" s="291">
        <v>5500</v>
      </c>
    </row>
    <row r="825" spans="1:12" ht="15.75" thickBot="1">
      <c r="A825" s="267" t="s">
        <v>133</v>
      </c>
      <c r="B825" s="268"/>
      <c r="C825" s="269"/>
      <c r="D825" s="242"/>
      <c r="E825" s="270">
        <f>SUM(E823:E824)</f>
        <v>10500</v>
      </c>
      <c r="F825" s="226">
        <f t="shared" ref="F825:I825" si="207">SUM(F823:F824)</f>
        <v>325</v>
      </c>
      <c r="G825" s="243">
        <f t="shared" si="207"/>
        <v>3</v>
      </c>
      <c r="H825" s="226">
        <f t="shared" si="207"/>
        <v>600</v>
      </c>
      <c r="I825" s="320">
        <f t="shared" si="207"/>
        <v>40</v>
      </c>
      <c r="J825" s="321">
        <f>SUM(F825,H825,I825,)</f>
        <v>965</v>
      </c>
      <c r="K825" s="322"/>
      <c r="L825" s="322"/>
    </row>
    <row r="826" spans="1:12">
      <c r="E826" s="271" t="s">
        <v>134</v>
      </c>
      <c r="F826" s="272">
        <f>SUM(F821,F825)</f>
        <v>325</v>
      </c>
      <c r="H826" s="272">
        <f>SUM(H821,H825)</f>
        <v>9800</v>
      </c>
      <c r="I826" s="324">
        <f>SUM(I821,I825)</f>
        <v>580</v>
      </c>
      <c r="J826" s="325" t="s">
        <v>135</v>
      </c>
    </row>
    <row r="827" spans="1:12">
      <c r="D827" s="326">
        <f>SUM(E327,E371,E416,E461,E506,E551,E596,E641,E686,E731,E776,E821)</f>
        <v>270350</v>
      </c>
      <c r="E827" s="326">
        <f>SUM(E312,E356,E401,E452,E491,E536,E581,E626,E671,E716,E761,E806)</f>
        <v>257750</v>
      </c>
    </row>
    <row r="828" spans="1:12" ht="18.75" thickBot="1">
      <c r="A828" s="185" t="s">
        <v>8</v>
      </c>
      <c r="B828" s="348" t="s">
        <v>1273</v>
      </c>
      <c r="C828" s="187"/>
    </row>
    <row r="829" spans="1:12">
      <c r="A829" s="190" t="s">
        <v>10</v>
      </c>
      <c r="B829" s="191">
        <v>45871</v>
      </c>
      <c r="C829" s="192" t="s">
        <v>1314</v>
      </c>
      <c r="D829" s="193" t="s">
        <v>1274</v>
      </c>
      <c r="E829" s="194">
        <v>8000</v>
      </c>
      <c r="F829" s="195">
        <f>SUM(E829*0.5)</f>
        <v>4000</v>
      </c>
      <c r="G829" s="196">
        <v>1</v>
      </c>
      <c r="H829" s="197">
        <f t="shared" ref="H829:H831" si="208">SUM(G829*200)</f>
        <v>200</v>
      </c>
      <c r="I829" s="194"/>
      <c r="J829" s="279">
        <v>8200</v>
      </c>
      <c r="K829" s="280" t="s">
        <v>13</v>
      </c>
      <c r="L829" s="281">
        <v>8000</v>
      </c>
    </row>
    <row r="830" spans="1:12">
      <c r="A830" s="198" t="s">
        <v>14</v>
      </c>
      <c r="B830" s="199">
        <v>45867</v>
      </c>
      <c r="C830" s="200" t="s">
        <v>1301</v>
      </c>
      <c r="D830" s="201" t="s">
        <v>1275</v>
      </c>
      <c r="E830" s="202">
        <v>8500</v>
      </c>
      <c r="F830" s="195">
        <f>SUM(E830*0.5)</f>
        <v>4250</v>
      </c>
      <c r="G830" s="203">
        <v>3</v>
      </c>
      <c r="H830" s="197">
        <f t="shared" si="208"/>
        <v>600</v>
      </c>
      <c r="I830" s="206"/>
      <c r="J830" s="282">
        <v>9100</v>
      </c>
      <c r="K830" s="283" t="s">
        <v>314</v>
      </c>
      <c r="L830" s="284">
        <v>8500</v>
      </c>
    </row>
    <row r="831" spans="1:12">
      <c r="A831" s="190" t="s">
        <v>18</v>
      </c>
      <c r="B831" s="199">
        <v>45869</v>
      </c>
      <c r="C831" s="204" t="s">
        <v>1307</v>
      </c>
      <c r="D831" s="205" t="s">
        <v>1276</v>
      </c>
      <c r="E831" s="202">
        <v>8000</v>
      </c>
      <c r="F831" s="195">
        <f t="shared" ref="F831:F833" si="209">SUM(E831*0.5)</f>
        <v>4000</v>
      </c>
      <c r="G831" s="203">
        <v>1</v>
      </c>
      <c r="H831" s="197">
        <f t="shared" si="208"/>
        <v>200</v>
      </c>
      <c r="I831" s="206"/>
      <c r="J831" s="282">
        <f>SUM(E831,H831:I831)</f>
        <v>8200</v>
      </c>
      <c r="K831" s="288" t="s">
        <v>21</v>
      </c>
      <c r="L831" s="284">
        <v>8000</v>
      </c>
    </row>
    <row r="832" spans="1:12" ht="25.5">
      <c r="A832" s="190" t="s">
        <v>22</v>
      </c>
      <c r="B832" s="199">
        <v>45847</v>
      </c>
      <c r="C832" s="26" t="s">
        <v>1298</v>
      </c>
      <c r="D832" s="205" t="s">
        <v>1277</v>
      </c>
      <c r="E832" s="206">
        <v>7250</v>
      </c>
      <c r="F832" s="195">
        <f t="shared" si="209"/>
        <v>3625</v>
      </c>
      <c r="G832" s="203">
        <v>1</v>
      </c>
      <c r="H832" s="197">
        <f t="shared" ref="H832" si="210">SUM(G832*200)</f>
        <v>200</v>
      </c>
      <c r="I832" s="206"/>
      <c r="J832" s="282">
        <f>SUM(E832,H832:I832)</f>
        <v>7450</v>
      </c>
      <c r="K832" s="290" t="s">
        <v>25</v>
      </c>
      <c r="L832" s="291">
        <v>5000</v>
      </c>
    </row>
    <row r="833" spans="1:12">
      <c r="A833" s="190" t="s">
        <v>26</v>
      </c>
      <c r="B833" s="199">
        <v>45864</v>
      </c>
      <c r="C833" s="208" t="s">
        <v>1302</v>
      </c>
      <c r="D833" s="208" t="s">
        <v>1276</v>
      </c>
      <c r="E833" s="209">
        <v>6000</v>
      </c>
      <c r="F833" s="195">
        <f t="shared" si="209"/>
        <v>3000</v>
      </c>
      <c r="G833" s="210">
        <v>2</v>
      </c>
      <c r="H833" s="197">
        <v>400</v>
      </c>
      <c r="I833" s="209"/>
      <c r="J833" s="254">
        <v>6400</v>
      </c>
      <c r="K833" s="24" t="s">
        <v>1300</v>
      </c>
      <c r="L833" s="287">
        <v>6000</v>
      </c>
    </row>
    <row r="834" spans="1:12">
      <c r="A834" s="190" t="s">
        <v>30</v>
      </c>
      <c r="B834" s="199">
        <v>45847</v>
      </c>
      <c r="C834" s="363" t="s">
        <v>1297</v>
      </c>
      <c r="D834" s="205" t="s">
        <v>1278</v>
      </c>
      <c r="E834" s="209">
        <v>6500</v>
      </c>
      <c r="F834" s="195">
        <v>3250</v>
      </c>
      <c r="G834" s="210">
        <v>0</v>
      </c>
      <c r="H834" s="197">
        <v>200</v>
      </c>
      <c r="I834" s="209"/>
      <c r="J834" s="254">
        <v>6500</v>
      </c>
      <c r="K834" s="294" t="s">
        <v>1237</v>
      </c>
      <c r="L834" s="287">
        <v>6500</v>
      </c>
    </row>
    <row r="835" spans="1:12">
      <c r="A835" s="190" t="s">
        <v>33</v>
      </c>
      <c r="B835" s="199">
        <v>45868</v>
      </c>
      <c r="C835" s="14" t="s">
        <v>1304</v>
      </c>
      <c r="D835" s="205" t="s">
        <v>1279</v>
      </c>
      <c r="E835" s="202">
        <v>6000</v>
      </c>
      <c r="F835" s="195">
        <f t="shared" ref="F835:F849" si="211">SUM(E835*0.5)</f>
        <v>3000</v>
      </c>
      <c r="G835" s="210">
        <v>1</v>
      </c>
      <c r="H835" s="197">
        <f t="shared" ref="H835:H849" si="212">SUM(G835*200)</f>
        <v>200</v>
      </c>
      <c r="I835" s="202"/>
      <c r="J835" s="197">
        <v>6200</v>
      </c>
      <c r="K835" s="288" t="s">
        <v>17</v>
      </c>
      <c r="L835" s="284">
        <v>6000</v>
      </c>
    </row>
    <row r="836" spans="1:12">
      <c r="A836" s="190" t="s">
        <v>35</v>
      </c>
      <c r="B836" s="199">
        <v>45857</v>
      </c>
      <c r="C836" s="211" t="s">
        <v>1299</v>
      </c>
      <c r="D836" s="177" t="s">
        <v>1280</v>
      </c>
      <c r="E836" s="212">
        <v>6000</v>
      </c>
      <c r="F836" s="195">
        <f t="shared" si="211"/>
        <v>3000</v>
      </c>
      <c r="G836" s="210">
        <v>1</v>
      </c>
      <c r="H836" s="197">
        <f t="shared" si="212"/>
        <v>200</v>
      </c>
      <c r="I836" s="206"/>
      <c r="J836" s="282">
        <v>6200</v>
      </c>
      <c r="K836" s="295" t="s">
        <v>38</v>
      </c>
      <c r="L836" s="284">
        <v>6000</v>
      </c>
    </row>
    <row r="837" spans="1:12">
      <c r="A837" s="213" t="s">
        <v>39</v>
      </c>
      <c r="B837" s="199">
        <v>45870</v>
      </c>
      <c r="C837" s="14" t="s">
        <v>1311</v>
      </c>
      <c r="D837" s="205" t="s">
        <v>1281</v>
      </c>
      <c r="E837" s="202">
        <v>8000</v>
      </c>
      <c r="F837" s="195">
        <f t="shared" si="211"/>
        <v>4000</v>
      </c>
      <c r="G837" s="203">
        <v>1</v>
      </c>
      <c r="H837" s="197">
        <f t="shared" si="212"/>
        <v>200</v>
      </c>
      <c r="I837" s="202"/>
      <c r="J837" s="282">
        <f>SUM(E837,H837:I837)</f>
        <v>8200</v>
      </c>
      <c r="K837" s="288" t="s">
        <v>42</v>
      </c>
      <c r="L837" s="284">
        <v>8000</v>
      </c>
    </row>
    <row r="838" spans="1:12">
      <c r="A838" s="213" t="s">
        <v>43</v>
      </c>
      <c r="B838" s="199">
        <v>45871</v>
      </c>
      <c r="C838" s="204" t="s">
        <v>1312</v>
      </c>
      <c r="D838" s="14" t="s">
        <v>1282</v>
      </c>
      <c r="E838" s="202">
        <v>8000</v>
      </c>
      <c r="F838" s="195">
        <f t="shared" si="211"/>
        <v>4000</v>
      </c>
      <c r="G838" s="203">
        <v>2</v>
      </c>
      <c r="H838" s="197">
        <f t="shared" si="212"/>
        <v>400</v>
      </c>
      <c r="I838" s="206"/>
      <c r="J838" s="282">
        <f>SUM(E838,H838:I838)</f>
        <v>8400</v>
      </c>
      <c r="K838" s="288" t="s">
        <v>46</v>
      </c>
      <c r="L838" s="284">
        <v>8000</v>
      </c>
    </row>
    <row r="839" spans="1:12">
      <c r="A839" s="213" t="s">
        <v>47</v>
      </c>
      <c r="B839" s="199">
        <v>45868</v>
      </c>
      <c r="C839" s="204" t="s">
        <v>1306</v>
      </c>
      <c r="D839" s="205" t="s">
        <v>1283</v>
      </c>
      <c r="E839" s="202">
        <v>8000</v>
      </c>
      <c r="F839" s="195">
        <f t="shared" si="211"/>
        <v>4000</v>
      </c>
      <c r="G839" s="203">
        <v>2</v>
      </c>
      <c r="H839" s="197">
        <f t="shared" si="212"/>
        <v>400</v>
      </c>
      <c r="I839" s="202"/>
      <c r="J839" s="282">
        <v>8600</v>
      </c>
      <c r="K839" s="288" t="s">
        <v>50</v>
      </c>
      <c r="L839" s="291">
        <v>8000</v>
      </c>
    </row>
    <row r="840" spans="1:12">
      <c r="A840" s="213" t="s">
        <v>51</v>
      </c>
      <c r="B840" s="199">
        <v>45868</v>
      </c>
      <c r="C840" s="204" t="s">
        <v>1303</v>
      </c>
      <c r="D840" s="205" t="s">
        <v>1279</v>
      </c>
      <c r="E840" s="212">
        <v>8500</v>
      </c>
      <c r="F840" s="195">
        <f t="shared" si="211"/>
        <v>4250</v>
      </c>
      <c r="G840" s="210">
        <v>2</v>
      </c>
      <c r="H840" s="197">
        <f t="shared" si="212"/>
        <v>400</v>
      </c>
      <c r="I840" s="212"/>
      <c r="J840" s="282">
        <v>8900</v>
      </c>
      <c r="K840" s="295" t="s">
        <v>577</v>
      </c>
      <c r="L840" s="284">
        <v>8500</v>
      </c>
    </row>
    <row r="841" spans="1:12">
      <c r="A841" s="213" t="s">
        <v>55</v>
      </c>
      <c r="B841" s="199">
        <v>45870</v>
      </c>
      <c r="C841" s="204" t="s">
        <v>1310</v>
      </c>
      <c r="D841" s="205" t="s">
        <v>1283</v>
      </c>
      <c r="E841" s="202">
        <v>7500</v>
      </c>
      <c r="F841" s="195">
        <f t="shared" si="211"/>
        <v>3750</v>
      </c>
      <c r="G841" s="203">
        <v>2</v>
      </c>
      <c r="H841" s="197">
        <f t="shared" si="212"/>
        <v>400</v>
      </c>
      <c r="I841" s="206"/>
      <c r="J841" s="282">
        <v>7900</v>
      </c>
      <c r="K841" s="288" t="s">
        <v>57</v>
      </c>
      <c r="L841" s="284">
        <v>7500</v>
      </c>
    </row>
    <row r="842" spans="1:12">
      <c r="A842" s="213" t="s">
        <v>58</v>
      </c>
      <c r="B842" s="199">
        <v>45871</v>
      </c>
      <c r="C842" s="204" t="s">
        <v>1313</v>
      </c>
      <c r="D842" s="205" t="s">
        <v>1277</v>
      </c>
      <c r="E842" s="202">
        <v>6500</v>
      </c>
      <c r="F842" s="195">
        <f t="shared" si="211"/>
        <v>3250</v>
      </c>
      <c r="G842" s="203">
        <v>1</v>
      </c>
      <c r="H842" s="197">
        <f t="shared" si="212"/>
        <v>200</v>
      </c>
      <c r="I842" s="206"/>
      <c r="J842" s="254">
        <v>6700</v>
      </c>
      <c r="K842" s="296" t="s">
        <v>378</v>
      </c>
      <c r="L842" s="284">
        <v>6500</v>
      </c>
    </row>
    <row r="843" spans="1:12">
      <c r="A843" s="213" t="s">
        <v>60</v>
      </c>
      <c r="B843" s="199">
        <v>45889</v>
      </c>
      <c r="C843" s="204" t="s">
        <v>1317</v>
      </c>
      <c r="D843" s="205" t="s">
        <v>1284</v>
      </c>
      <c r="E843" s="202">
        <v>6500</v>
      </c>
      <c r="F843" s="195">
        <f t="shared" si="211"/>
        <v>3250</v>
      </c>
      <c r="G843" s="203">
        <v>1</v>
      </c>
      <c r="H843" s="197">
        <f t="shared" si="212"/>
        <v>200</v>
      </c>
      <c r="I843" s="206"/>
      <c r="J843" s="254">
        <v>6700</v>
      </c>
      <c r="K843" s="295" t="s">
        <v>1196</v>
      </c>
      <c r="L843" s="284">
        <v>6500</v>
      </c>
    </row>
    <row r="844" spans="1:12">
      <c r="A844" s="214" t="s">
        <v>63</v>
      </c>
      <c r="B844" s="199">
        <v>45884</v>
      </c>
      <c r="C844" s="204" t="s">
        <v>1316</v>
      </c>
      <c r="D844" s="205" t="s">
        <v>1285</v>
      </c>
      <c r="E844" s="206">
        <v>9000</v>
      </c>
      <c r="F844" s="195">
        <f t="shared" si="211"/>
        <v>4500</v>
      </c>
      <c r="G844" s="203">
        <v>2</v>
      </c>
      <c r="H844" s="197">
        <f t="shared" si="212"/>
        <v>400</v>
      </c>
      <c r="I844" s="206"/>
      <c r="J844" s="282">
        <v>9400</v>
      </c>
      <c r="K844" s="288" t="s">
        <v>584</v>
      </c>
      <c r="L844" s="291">
        <v>9000</v>
      </c>
    </row>
    <row r="845" spans="1:12">
      <c r="A845" s="214" t="s">
        <v>67</v>
      </c>
      <c r="B845" s="199">
        <v>45872</v>
      </c>
      <c r="C845" s="204" t="s">
        <v>1315</v>
      </c>
      <c r="D845" s="205" t="s">
        <v>1276</v>
      </c>
      <c r="E845" s="206">
        <v>8500</v>
      </c>
      <c r="F845" s="195">
        <f t="shared" si="211"/>
        <v>4250</v>
      </c>
      <c r="G845" s="203">
        <v>2</v>
      </c>
      <c r="H845" s="197">
        <f t="shared" si="212"/>
        <v>400</v>
      </c>
      <c r="I845" s="206"/>
      <c r="J845" s="282">
        <v>8900</v>
      </c>
      <c r="K845" s="295" t="s">
        <v>1074</v>
      </c>
      <c r="L845" s="284">
        <v>8500</v>
      </c>
    </row>
    <row r="846" spans="1:12">
      <c r="A846" s="214" t="s">
        <v>71</v>
      </c>
      <c r="B846" s="199">
        <v>45869</v>
      </c>
      <c r="C846" s="204" t="s">
        <v>1308</v>
      </c>
      <c r="D846" s="205" t="s">
        <v>1286</v>
      </c>
      <c r="E846" s="206">
        <v>8500</v>
      </c>
      <c r="F846" s="195">
        <f t="shared" si="211"/>
        <v>4250</v>
      </c>
      <c r="G846" s="203">
        <v>2</v>
      </c>
      <c r="H846" s="197">
        <f t="shared" si="212"/>
        <v>400</v>
      </c>
      <c r="I846" s="206"/>
      <c r="J846" s="282">
        <v>8900</v>
      </c>
      <c r="K846" s="288" t="s">
        <v>383</v>
      </c>
      <c r="L846" s="291">
        <v>8500</v>
      </c>
    </row>
    <row r="847" spans="1:12">
      <c r="A847" s="214" t="s">
        <v>74</v>
      </c>
      <c r="B847" s="199">
        <v>45870</v>
      </c>
      <c r="C847" s="204" t="s">
        <v>1309</v>
      </c>
      <c r="D847" s="205" t="s">
        <v>1279</v>
      </c>
      <c r="E847" s="206">
        <v>8000</v>
      </c>
      <c r="F847" s="195">
        <f t="shared" si="211"/>
        <v>4000</v>
      </c>
      <c r="G847" s="203">
        <v>2</v>
      </c>
      <c r="H847" s="197">
        <f t="shared" si="212"/>
        <v>400</v>
      </c>
      <c r="I847" s="206"/>
      <c r="J847" s="282">
        <f>SUM(E847,H847:I847)</f>
        <v>8400</v>
      </c>
      <c r="K847" s="288" t="s">
        <v>76</v>
      </c>
      <c r="L847" s="291">
        <v>8000</v>
      </c>
    </row>
    <row r="848" spans="1:12">
      <c r="A848" s="214" t="s">
        <v>77</v>
      </c>
      <c r="B848" s="199">
        <v>45841</v>
      </c>
      <c r="C848" s="207" t="s">
        <v>1295</v>
      </c>
      <c r="D848" s="205" t="s">
        <v>1287</v>
      </c>
      <c r="E848" s="206">
        <v>8000</v>
      </c>
      <c r="F848" s="195">
        <f t="shared" si="211"/>
        <v>4000</v>
      </c>
      <c r="G848" s="203">
        <v>2</v>
      </c>
      <c r="H848" s="197">
        <f t="shared" si="212"/>
        <v>400</v>
      </c>
      <c r="I848" s="206"/>
      <c r="J848" s="282">
        <f>SUM(E848,H848:I848)</f>
        <v>8400</v>
      </c>
      <c r="K848" s="288" t="s">
        <v>340</v>
      </c>
      <c r="L848" s="291">
        <v>8000</v>
      </c>
    </row>
    <row r="849" spans="1:12">
      <c r="A849" s="214" t="s">
        <v>81</v>
      </c>
      <c r="B849" s="199">
        <v>45868</v>
      </c>
      <c r="C849" s="207" t="s">
        <v>1305</v>
      </c>
      <c r="D849" s="177" t="s">
        <v>1288</v>
      </c>
      <c r="E849" s="209">
        <v>6000</v>
      </c>
      <c r="F849" s="195">
        <f t="shared" si="211"/>
        <v>3000</v>
      </c>
      <c r="G849" s="210">
        <v>1</v>
      </c>
      <c r="H849" s="197">
        <f t="shared" si="212"/>
        <v>200</v>
      </c>
      <c r="I849" s="206"/>
      <c r="J849" s="282">
        <v>6200</v>
      </c>
      <c r="K849" s="295" t="s">
        <v>83</v>
      </c>
      <c r="L849" s="291">
        <v>6000</v>
      </c>
    </row>
    <row r="850" spans="1:12">
      <c r="A850" s="215" t="s">
        <v>84</v>
      </c>
      <c r="B850" s="216"/>
      <c r="C850" s="217" t="s">
        <v>162</v>
      </c>
      <c r="D850" s="218"/>
      <c r="E850" s="219"/>
      <c r="F850" s="195"/>
      <c r="G850" s="220"/>
      <c r="H850" s="197"/>
      <c r="I850" s="219"/>
      <c r="J850" s="303"/>
      <c r="K850" s="304"/>
      <c r="L850" s="305"/>
    </row>
    <row r="851" spans="1:12" ht="15.75" thickBot="1">
      <c r="A851" s="221"/>
      <c r="B851" s="222"/>
      <c r="C851" s="223"/>
      <c r="D851" s="224"/>
      <c r="E851" s="225">
        <f>SUM(E829:E850)</f>
        <v>157250</v>
      </c>
      <c r="F851" s="226">
        <f>SUM(F829:F850)</f>
        <v>78625</v>
      </c>
      <c r="G851" s="225">
        <f t="shared" ref="G851:J851" si="213">SUM(G829:G850)</f>
        <v>32</v>
      </c>
      <c r="H851" s="227">
        <f t="shared" si="213"/>
        <v>6600</v>
      </c>
      <c r="I851" s="225">
        <f t="shared" si="213"/>
        <v>0</v>
      </c>
      <c r="J851" s="227">
        <f t="shared" si="213"/>
        <v>163850</v>
      </c>
      <c r="K851" s="306"/>
      <c r="L851" s="307">
        <f>SUM(L829:L850)</f>
        <v>155000</v>
      </c>
    </row>
    <row r="852" spans="1:12">
      <c r="A852" s="228" t="s">
        <v>88</v>
      </c>
      <c r="B852" s="229"/>
      <c r="C852" s="230"/>
      <c r="D852" s="205"/>
      <c r="E852" s="195"/>
      <c r="F852" s="195"/>
      <c r="G852" s="231"/>
      <c r="H852" s="195"/>
      <c r="I852" s="195"/>
      <c r="J852" s="230"/>
      <c r="K852" s="309"/>
      <c r="L852" s="291"/>
    </row>
    <row r="853" spans="1:12">
      <c r="A853" s="176" t="s">
        <v>89</v>
      </c>
      <c r="B853" s="199">
        <v>45850</v>
      </c>
      <c r="C853" s="204" t="s">
        <v>90</v>
      </c>
      <c r="D853" s="205" t="s">
        <v>1289</v>
      </c>
      <c r="E853" s="206">
        <v>10000</v>
      </c>
      <c r="F853" s="195"/>
      <c r="G853" s="232">
        <v>2</v>
      </c>
      <c r="H853" s="197">
        <f t="shared" ref="H853:H857" si="214">SUM(G853*200)</f>
        <v>400</v>
      </c>
      <c r="I853" s="206"/>
      <c r="J853" s="282">
        <v>10400</v>
      </c>
      <c r="K853" s="288" t="s">
        <v>92</v>
      </c>
      <c r="L853" s="291">
        <v>10000</v>
      </c>
    </row>
    <row r="854" spans="1:12">
      <c r="A854" s="176" t="s">
        <v>93</v>
      </c>
      <c r="B854" s="199">
        <v>45869</v>
      </c>
      <c r="C854" s="207" t="s">
        <v>94</v>
      </c>
      <c r="D854" s="177" t="s">
        <v>1290</v>
      </c>
      <c r="E854" s="212">
        <v>10000</v>
      </c>
      <c r="F854" s="233"/>
      <c r="G854" s="210">
        <v>2</v>
      </c>
      <c r="H854" s="197">
        <f t="shared" si="214"/>
        <v>400</v>
      </c>
      <c r="I854" s="202"/>
      <c r="J854" s="282">
        <v>10400</v>
      </c>
      <c r="K854" s="310" t="s">
        <v>96</v>
      </c>
      <c r="L854" s="284">
        <v>6000</v>
      </c>
    </row>
    <row r="855" spans="1:12">
      <c r="A855" s="176" t="s">
        <v>97</v>
      </c>
      <c r="B855" s="199">
        <v>45864</v>
      </c>
      <c r="C855" s="204" t="s">
        <v>98</v>
      </c>
      <c r="D855" s="205" t="s">
        <v>1280</v>
      </c>
      <c r="E855" s="234">
        <v>12000</v>
      </c>
      <c r="F855" s="235"/>
      <c r="G855" s="232">
        <v>2</v>
      </c>
      <c r="H855" s="197">
        <f t="shared" si="214"/>
        <v>400</v>
      </c>
      <c r="I855" s="206"/>
      <c r="J855" s="282">
        <v>12400</v>
      </c>
      <c r="K855" s="288" t="s">
        <v>99</v>
      </c>
      <c r="L855" s="291">
        <v>12000</v>
      </c>
    </row>
    <row r="856" spans="1:12">
      <c r="A856" s="176" t="s">
        <v>100</v>
      </c>
      <c r="B856" s="199">
        <v>45858</v>
      </c>
      <c r="C856" s="236" t="s">
        <v>1318</v>
      </c>
      <c r="D856" s="205" t="s">
        <v>1291</v>
      </c>
      <c r="E856" s="206">
        <v>12000</v>
      </c>
      <c r="F856" s="195"/>
      <c r="G856" s="232">
        <v>4</v>
      </c>
      <c r="H856" s="197">
        <f t="shared" si="214"/>
        <v>800</v>
      </c>
      <c r="I856" s="206"/>
      <c r="J856" s="282">
        <v>12800</v>
      </c>
      <c r="K856" s="311" t="s">
        <v>1214</v>
      </c>
      <c r="L856" s="291">
        <v>12000</v>
      </c>
    </row>
    <row r="857" spans="1:12">
      <c r="A857" s="176" t="s">
        <v>104</v>
      </c>
      <c r="B857" s="339">
        <v>45878</v>
      </c>
      <c r="C857" s="237" t="s">
        <v>105</v>
      </c>
      <c r="D857" s="205" t="s">
        <v>1292</v>
      </c>
      <c r="E857" s="206">
        <v>12000</v>
      </c>
      <c r="F857" s="195"/>
      <c r="G857" s="238">
        <v>3</v>
      </c>
      <c r="H857" s="197">
        <f t="shared" si="214"/>
        <v>600</v>
      </c>
      <c r="I857" s="219"/>
      <c r="J857" s="282">
        <v>12600</v>
      </c>
      <c r="K857" s="311" t="s">
        <v>107</v>
      </c>
      <c r="L857" s="291">
        <v>12000</v>
      </c>
    </row>
    <row r="858" spans="1:12" ht="15.75" thickBot="1">
      <c r="A858" s="239"/>
      <c r="B858" s="240"/>
      <c r="C858" s="241" t="s">
        <v>108</v>
      </c>
      <c r="D858" s="242"/>
      <c r="E858" s="243">
        <f>SUM(E853:E856)</f>
        <v>44000</v>
      </c>
      <c r="F858" s="226"/>
      <c r="G858" s="226">
        <f>SUM(G853:G856)</f>
        <v>10</v>
      </c>
      <c r="H858" s="226">
        <f>SUM(H853:H856)</f>
        <v>2000</v>
      </c>
      <c r="I858" s="243">
        <f>SUM(I853:I856)</f>
        <v>0</v>
      </c>
      <c r="J858" s="226">
        <f>SUM(J853:J856)</f>
        <v>46000</v>
      </c>
      <c r="K858" s="306"/>
      <c r="L858" s="312">
        <f>SUM(L853:L857)</f>
        <v>52000</v>
      </c>
    </row>
    <row r="859" spans="1:12">
      <c r="A859" s="228" t="s">
        <v>109</v>
      </c>
      <c r="B859" s="244"/>
      <c r="C859" s="245"/>
      <c r="D859" s="205"/>
      <c r="E859" s="195"/>
      <c r="F859" s="195"/>
      <c r="G859" s="231"/>
      <c r="H859" s="195"/>
      <c r="I859" s="195"/>
      <c r="J859" s="195"/>
      <c r="K859" s="309"/>
      <c r="L859" s="313"/>
    </row>
    <row r="860" spans="1:12" ht="15.75" thickBot="1">
      <c r="A860" s="246" t="s">
        <v>110</v>
      </c>
      <c r="B860" s="247"/>
      <c r="C860" s="248" t="s">
        <v>111</v>
      </c>
      <c r="D860" s="242"/>
      <c r="E860" s="243"/>
      <c r="F860" s="226"/>
      <c r="G860" s="249"/>
      <c r="H860" s="226"/>
      <c r="I860" s="243"/>
      <c r="J860" s="226"/>
      <c r="K860" s="306"/>
      <c r="L860" s="312"/>
    </row>
    <row r="861" spans="1:12">
      <c r="A861" s="228" t="s">
        <v>112</v>
      </c>
      <c r="B861" s="250"/>
      <c r="C861" s="245"/>
      <c r="D861" s="205"/>
      <c r="E861" s="195"/>
      <c r="F861" s="195"/>
      <c r="G861" s="231"/>
      <c r="H861" s="195"/>
      <c r="I861" s="195"/>
      <c r="J861" s="195"/>
      <c r="K861" s="309"/>
      <c r="L861" s="313"/>
    </row>
    <row r="862" spans="1:12">
      <c r="A862" s="176" t="s">
        <v>113</v>
      </c>
      <c r="B862" s="199">
        <v>45880</v>
      </c>
      <c r="C862" s="251" t="s">
        <v>114</v>
      </c>
      <c r="D862" s="177" t="s">
        <v>1287</v>
      </c>
      <c r="E862" s="206">
        <v>12600</v>
      </c>
      <c r="F862" s="230"/>
      <c r="G862" s="209">
        <v>2</v>
      </c>
      <c r="H862" s="197">
        <f t="shared" ref="H862:H864" si="215">SUM(G862*200)</f>
        <v>400</v>
      </c>
      <c r="I862" s="314"/>
      <c r="J862" s="282">
        <v>12400</v>
      </c>
      <c r="K862" s="295" t="s">
        <v>115</v>
      </c>
      <c r="L862" s="291">
        <v>12000</v>
      </c>
    </row>
    <row r="863" spans="1:12">
      <c r="A863" s="176" t="s">
        <v>116</v>
      </c>
      <c r="B863" s="199">
        <v>45840</v>
      </c>
      <c r="C863" s="252" t="s">
        <v>117</v>
      </c>
      <c r="D863" s="205" t="s">
        <v>1293</v>
      </c>
      <c r="E863" s="206">
        <v>7000</v>
      </c>
      <c r="F863" s="195"/>
      <c r="G863" s="209">
        <v>1</v>
      </c>
      <c r="H863" s="197">
        <f t="shared" si="215"/>
        <v>200</v>
      </c>
      <c r="I863" s="314"/>
      <c r="J863" s="282">
        <v>7200</v>
      </c>
      <c r="K863" s="288" t="s">
        <v>119</v>
      </c>
      <c r="L863" s="291">
        <v>7000</v>
      </c>
    </row>
    <row r="864" spans="1:12">
      <c r="A864" s="176" t="s">
        <v>120</v>
      </c>
      <c r="B864" s="199">
        <v>45861</v>
      </c>
      <c r="C864" s="253" t="s">
        <v>121</v>
      </c>
      <c r="D864" s="177" t="s">
        <v>1279</v>
      </c>
      <c r="E864" s="209">
        <v>10000</v>
      </c>
      <c r="F864" s="254"/>
      <c r="G864" s="209">
        <v>2</v>
      </c>
      <c r="H864" s="197">
        <f t="shared" si="215"/>
        <v>400</v>
      </c>
      <c r="I864" s="315"/>
      <c r="J864" s="254">
        <v>10400</v>
      </c>
      <c r="K864" s="316" t="s">
        <v>122</v>
      </c>
      <c r="L864" s="291">
        <v>10000</v>
      </c>
    </row>
    <row r="865" spans="1:12" ht="15.75" thickBot="1">
      <c r="A865" s="246"/>
      <c r="B865" s="247"/>
      <c r="C865" s="255"/>
      <c r="D865" s="242"/>
      <c r="E865" s="256">
        <f>SUM(E862:E864)</f>
        <v>29600</v>
      </c>
      <c r="F865" s="257"/>
      <c r="G865" s="256">
        <f>SUM(G862:G864)</f>
        <v>5</v>
      </c>
      <c r="H865" s="257">
        <f>SUM(H862:H864)</f>
        <v>1000</v>
      </c>
      <c r="I865" s="257">
        <f>SUM(I862:I864)</f>
        <v>0</v>
      </c>
      <c r="J865" s="257">
        <f>SUM(J862:J864)</f>
        <v>30000</v>
      </c>
      <c r="K865" s="317"/>
      <c r="L865" s="312">
        <f>SUM(L862:L864)</f>
        <v>29000</v>
      </c>
    </row>
    <row r="866" spans="1:12">
      <c r="B866" s="244"/>
      <c r="C866" s="80"/>
      <c r="D866" s="258"/>
      <c r="E866" s="259">
        <f>SUM(E851,E858,E860,E865)</f>
        <v>230850</v>
      </c>
      <c r="F866" s="260"/>
      <c r="G866" s="259">
        <f>SUM(G851,G858,G860,G865)</f>
        <v>47</v>
      </c>
      <c r="H866" s="259">
        <f>SUM(H851,H858,H860,H865)</f>
        <v>9600</v>
      </c>
      <c r="I866" s="318">
        <f>SUM(I851,I858,I860,I865)</f>
        <v>0</v>
      </c>
      <c r="J866" s="259">
        <f>SUM(J851,J858,J860,J865)</f>
        <v>239850</v>
      </c>
      <c r="K866" s="319"/>
      <c r="L866" s="291"/>
    </row>
    <row r="867" spans="1:12">
      <c r="A867" s="228" t="s">
        <v>123</v>
      </c>
      <c r="B867" s="261"/>
      <c r="C867" s="262"/>
      <c r="D867" s="15"/>
      <c r="E867" s="195"/>
      <c r="F867" s="263" t="s">
        <v>124</v>
      </c>
      <c r="G867" s="264"/>
      <c r="H867" s="195"/>
      <c r="I867" s="195"/>
      <c r="J867" s="230"/>
      <c r="K867" s="309"/>
      <c r="L867" s="284"/>
    </row>
    <row r="868" spans="1:12">
      <c r="A868" s="176" t="s">
        <v>125</v>
      </c>
      <c r="B868" s="199">
        <v>45863</v>
      </c>
      <c r="C868" s="265" t="s">
        <v>126</v>
      </c>
      <c r="D868" s="205" t="s">
        <v>1291</v>
      </c>
      <c r="E868" s="202">
        <v>5000</v>
      </c>
      <c r="F868" s="266">
        <v>325</v>
      </c>
      <c r="G868" s="203">
        <v>2</v>
      </c>
      <c r="H868" s="266">
        <f t="shared" ref="H868:H869" si="216">SUM(G868*200)</f>
        <v>400</v>
      </c>
      <c r="I868" s="202"/>
      <c r="J868" s="282">
        <v>5700</v>
      </c>
      <c r="K868" s="319" t="s">
        <v>128</v>
      </c>
      <c r="L868" s="284">
        <v>5000</v>
      </c>
    </row>
    <row r="869" spans="1:12">
      <c r="A869" s="176" t="s">
        <v>129</v>
      </c>
      <c r="B869" s="199">
        <v>45872</v>
      </c>
      <c r="C869" s="265" t="s">
        <v>130</v>
      </c>
      <c r="D869" s="205" t="s">
        <v>1294</v>
      </c>
      <c r="E869" s="206">
        <v>5500</v>
      </c>
      <c r="F869" s="195"/>
      <c r="G869" s="203">
        <v>1</v>
      </c>
      <c r="H869" s="266">
        <f t="shared" si="216"/>
        <v>200</v>
      </c>
      <c r="I869" s="206"/>
      <c r="J869" s="282">
        <f>SUM(E869,H869:I869)</f>
        <v>5700</v>
      </c>
      <c r="K869" s="319" t="s">
        <v>132</v>
      </c>
      <c r="L869" s="291">
        <v>5500</v>
      </c>
    </row>
    <row r="870" spans="1:12" ht="15.75" thickBot="1">
      <c r="A870" s="267" t="s">
        <v>133</v>
      </c>
      <c r="B870" s="268"/>
      <c r="C870" s="269"/>
      <c r="D870" s="242"/>
      <c r="E870" s="270">
        <f>SUM(E868:E869)</f>
        <v>10500</v>
      </c>
      <c r="F870" s="226">
        <f t="shared" ref="F870:I870" si="217">SUM(F868:F869)</f>
        <v>325</v>
      </c>
      <c r="G870" s="243">
        <f t="shared" si="217"/>
        <v>3</v>
      </c>
      <c r="H870" s="226">
        <f t="shared" si="217"/>
        <v>600</v>
      </c>
      <c r="I870" s="320">
        <f t="shared" si="217"/>
        <v>0</v>
      </c>
      <c r="J870" s="321">
        <f>SUM(F870,H870,I870,)</f>
        <v>925</v>
      </c>
      <c r="K870" s="322"/>
      <c r="L870" s="322"/>
    </row>
    <row r="871" spans="1:12">
      <c r="E871" s="271" t="s">
        <v>134</v>
      </c>
      <c r="F871" s="272">
        <f>SUM(F866,F870)</f>
        <v>325</v>
      </c>
      <c r="H871" s="272">
        <f>SUM(H866,H870)</f>
        <v>10200</v>
      </c>
      <c r="I871" s="324">
        <f>SUM(I866,I870)</f>
        <v>0</v>
      </c>
      <c r="J871" s="325" t="s">
        <v>135</v>
      </c>
    </row>
    <row r="872" spans="1:12">
      <c r="D872" s="326">
        <f>SUM(E372,E416,E461,E506,E551,E596,E641,E686,E731,E776,E821,E866)</f>
        <v>493200</v>
      </c>
      <c r="E872" s="326">
        <f>SUM(E357,E401,E446,E497,E536,E581,E626,E671,E716,E761,E806,E851)</f>
        <v>410000</v>
      </c>
    </row>
    <row r="874" spans="1:12" ht="18.75" thickBot="1">
      <c r="A874" s="185" t="s">
        <v>8</v>
      </c>
      <c r="B874" s="348" t="s">
        <v>1319</v>
      </c>
      <c r="C874" s="187"/>
    </row>
    <row r="875" spans="1:12">
      <c r="A875" s="190" t="s">
        <v>10</v>
      </c>
      <c r="B875" s="191">
        <v>45910</v>
      </c>
      <c r="C875" s="7" t="s">
        <v>1549</v>
      </c>
      <c r="D875" s="193" t="s">
        <v>1320</v>
      </c>
      <c r="E875" s="194">
        <v>8000</v>
      </c>
      <c r="F875" s="195">
        <f>SUM(E875*0.5)</f>
        <v>4000</v>
      </c>
      <c r="G875" s="196">
        <v>1</v>
      </c>
      <c r="H875" s="197">
        <f t="shared" ref="H875:H877" si="218">SUM(G875*200)</f>
        <v>200</v>
      </c>
      <c r="I875" s="194"/>
      <c r="J875" s="279">
        <v>8200</v>
      </c>
      <c r="K875" s="280" t="s">
        <v>13</v>
      </c>
      <c r="L875" s="281">
        <v>8000</v>
      </c>
    </row>
    <row r="876" spans="1:12">
      <c r="A876" s="198" t="s">
        <v>14</v>
      </c>
      <c r="B876" s="199">
        <v>45897</v>
      </c>
      <c r="C876" s="201" t="s">
        <v>1347</v>
      </c>
      <c r="D876" s="201" t="s">
        <v>1321</v>
      </c>
      <c r="E876" s="202">
        <v>8500</v>
      </c>
      <c r="F876" s="195">
        <f>SUM(E876*0.5)</f>
        <v>4250</v>
      </c>
      <c r="G876" s="203">
        <v>3</v>
      </c>
      <c r="H876" s="197">
        <f t="shared" si="218"/>
        <v>600</v>
      </c>
      <c r="I876" s="206"/>
      <c r="J876" s="282">
        <v>8600</v>
      </c>
      <c r="K876" s="283" t="s">
        <v>314</v>
      </c>
      <c r="L876" s="284">
        <v>8500</v>
      </c>
    </row>
    <row r="877" spans="1:12">
      <c r="A877" s="190" t="s">
        <v>18</v>
      </c>
      <c r="B877" s="199">
        <v>45897</v>
      </c>
      <c r="C877" s="14" t="s">
        <v>1348</v>
      </c>
      <c r="D877" s="205" t="s">
        <v>1322</v>
      </c>
      <c r="E877" s="202">
        <v>8000</v>
      </c>
      <c r="F877" s="195">
        <f t="shared" ref="F877:F878" si="219">SUM(E877*0.5)</f>
        <v>4000</v>
      </c>
      <c r="G877" s="203">
        <v>1</v>
      </c>
      <c r="H877" s="197">
        <f t="shared" si="218"/>
        <v>200</v>
      </c>
      <c r="I877" s="206"/>
      <c r="J877" s="282">
        <f>SUM(E877,H877:I877)</f>
        <v>8200</v>
      </c>
      <c r="K877" s="288" t="s">
        <v>21</v>
      </c>
      <c r="L877" s="284">
        <v>8000</v>
      </c>
    </row>
    <row r="878" spans="1:12" ht="25.5">
      <c r="A878" s="190" t="s">
        <v>22</v>
      </c>
      <c r="B878" s="199">
        <v>45882</v>
      </c>
      <c r="C878" s="26" t="s">
        <v>1339</v>
      </c>
      <c r="D878" s="205" t="s">
        <v>1323</v>
      </c>
      <c r="E878" s="206">
        <v>7250</v>
      </c>
      <c r="F878" s="195">
        <f t="shared" si="219"/>
        <v>3625</v>
      </c>
      <c r="G878" s="203">
        <v>1</v>
      </c>
      <c r="H878" s="197">
        <f t="shared" ref="H878" si="220">SUM(G878*200)</f>
        <v>200</v>
      </c>
      <c r="I878" s="206"/>
      <c r="J878" s="282">
        <f>SUM(E878,H878:I878)</f>
        <v>7450</v>
      </c>
      <c r="K878" s="290" t="s">
        <v>25</v>
      </c>
      <c r="L878" s="291">
        <v>5000</v>
      </c>
    </row>
    <row r="879" spans="1:12">
      <c r="A879" s="190" t="s">
        <v>26</v>
      </c>
      <c r="B879" s="199"/>
      <c r="C879" s="208" t="s">
        <v>162</v>
      </c>
      <c r="D879" s="208"/>
      <c r="E879" s="209"/>
      <c r="F879" s="195"/>
      <c r="G879" s="210"/>
      <c r="H879" s="197"/>
      <c r="I879" s="209"/>
      <c r="J879" s="254"/>
      <c r="K879" s="24"/>
      <c r="L879" s="287"/>
    </row>
    <row r="880" spans="1:12">
      <c r="A880" s="190" t="s">
        <v>30</v>
      </c>
      <c r="B880" s="199">
        <v>45897</v>
      </c>
      <c r="C880" s="363" t="s">
        <v>1342</v>
      </c>
      <c r="D880" s="205" t="s">
        <v>1343</v>
      </c>
      <c r="E880" s="209">
        <v>6500</v>
      </c>
      <c r="F880" s="195">
        <v>3250</v>
      </c>
      <c r="G880" s="210">
        <v>0</v>
      </c>
      <c r="H880" s="197">
        <v>200</v>
      </c>
      <c r="I880" s="209"/>
      <c r="J880" s="254">
        <v>6700</v>
      </c>
      <c r="K880" s="294" t="s">
        <v>1344</v>
      </c>
      <c r="L880" s="287">
        <v>6500</v>
      </c>
    </row>
    <row r="881" spans="1:12">
      <c r="A881" s="190" t="s">
        <v>33</v>
      </c>
      <c r="B881" s="199">
        <v>45897</v>
      </c>
      <c r="C881" s="14" t="s">
        <v>1341</v>
      </c>
      <c r="D881" s="205" t="s">
        <v>1326</v>
      </c>
      <c r="E881" s="202">
        <v>6000</v>
      </c>
      <c r="F881" s="195">
        <f t="shared" ref="F881:F895" si="221">SUM(E881*0.5)</f>
        <v>3000</v>
      </c>
      <c r="G881" s="210">
        <v>1</v>
      </c>
      <c r="H881" s="197">
        <f t="shared" ref="H881:H895" si="222">SUM(G881*200)</f>
        <v>200</v>
      </c>
      <c r="I881" s="202"/>
      <c r="J881" s="197">
        <v>6220</v>
      </c>
      <c r="K881" s="288" t="s">
        <v>17</v>
      </c>
      <c r="L881" s="284">
        <v>6000</v>
      </c>
    </row>
    <row r="882" spans="1:12">
      <c r="A882" s="190" t="s">
        <v>35</v>
      </c>
      <c r="B882" s="199">
        <v>45897</v>
      </c>
      <c r="C882" s="211" t="s">
        <v>1345</v>
      </c>
      <c r="D882" s="177" t="s">
        <v>1338</v>
      </c>
      <c r="E882" s="212">
        <v>6000</v>
      </c>
      <c r="F882" s="195">
        <f t="shared" si="221"/>
        <v>3000</v>
      </c>
      <c r="G882" s="210">
        <v>1</v>
      </c>
      <c r="H882" s="197">
        <f t="shared" si="222"/>
        <v>200</v>
      </c>
      <c r="I882" s="206"/>
      <c r="J882" s="282">
        <v>6200</v>
      </c>
      <c r="K882" s="295" t="s">
        <v>38</v>
      </c>
      <c r="L882" s="284">
        <v>6000</v>
      </c>
    </row>
    <row r="883" spans="1:12">
      <c r="A883" s="213" t="s">
        <v>39</v>
      </c>
      <c r="B883" s="199">
        <v>45899</v>
      </c>
      <c r="C883" s="14" t="s">
        <v>1541</v>
      </c>
      <c r="D883" s="205" t="s">
        <v>1337</v>
      </c>
      <c r="E883" s="202">
        <v>8000</v>
      </c>
      <c r="F883" s="195">
        <f t="shared" si="221"/>
        <v>4000</v>
      </c>
      <c r="G883" s="203">
        <v>1</v>
      </c>
      <c r="H883" s="197">
        <f t="shared" si="222"/>
        <v>200</v>
      </c>
      <c r="I883" s="202"/>
      <c r="J883" s="282">
        <f>SUM(E883,H883:I883)</f>
        <v>8200</v>
      </c>
      <c r="K883" s="288" t="s">
        <v>42</v>
      </c>
      <c r="L883" s="284">
        <v>8000</v>
      </c>
    </row>
    <row r="884" spans="1:12">
      <c r="A884" s="213" t="s">
        <v>43</v>
      </c>
      <c r="B884" s="199"/>
      <c r="C884" s="204" t="s">
        <v>162</v>
      </c>
      <c r="D884" s="14"/>
      <c r="E884" s="202"/>
      <c r="F884" s="195"/>
      <c r="G884" s="203"/>
      <c r="H884" s="197"/>
      <c r="I884" s="206"/>
      <c r="J884" s="282"/>
      <c r="K884" s="288"/>
      <c r="L884" s="284"/>
    </row>
    <row r="885" spans="1:12">
      <c r="A885" s="213" t="s">
        <v>47</v>
      </c>
      <c r="B885" s="199">
        <v>45900</v>
      </c>
      <c r="C885" s="204" t="s">
        <v>1542</v>
      </c>
      <c r="D885" s="205" t="s">
        <v>1336</v>
      </c>
      <c r="E885" s="202">
        <v>8000</v>
      </c>
      <c r="F885" s="195">
        <f t="shared" si="221"/>
        <v>4000</v>
      </c>
      <c r="G885" s="203">
        <v>1</v>
      </c>
      <c r="H885" s="197">
        <f t="shared" si="222"/>
        <v>200</v>
      </c>
      <c r="I885" s="202"/>
      <c r="J885" s="282">
        <v>8200</v>
      </c>
      <c r="K885" s="288" t="s">
        <v>50</v>
      </c>
      <c r="L885" s="291">
        <v>8000</v>
      </c>
    </row>
    <row r="886" spans="1:12">
      <c r="A886" s="213" t="s">
        <v>51</v>
      </c>
      <c r="B886" s="199">
        <v>45900</v>
      </c>
      <c r="C886" s="204" t="s">
        <v>1543</v>
      </c>
      <c r="D886" s="205" t="s">
        <v>1326</v>
      </c>
      <c r="E886" s="212">
        <v>8500</v>
      </c>
      <c r="F886" s="195">
        <f t="shared" si="221"/>
        <v>4250</v>
      </c>
      <c r="G886" s="210">
        <v>2</v>
      </c>
      <c r="H886" s="197">
        <f t="shared" si="222"/>
        <v>400</v>
      </c>
      <c r="I886" s="212"/>
      <c r="J886" s="282">
        <v>8900</v>
      </c>
      <c r="K886" s="295" t="s">
        <v>577</v>
      </c>
      <c r="L886" s="284">
        <v>8500</v>
      </c>
    </row>
    <row r="887" spans="1:12">
      <c r="A887" s="213" t="s">
        <v>55</v>
      </c>
      <c r="B887" s="199">
        <v>45902</v>
      </c>
      <c r="C887" s="204" t="s">
        <v>1546</v>
      </c>
      <c r="D887" s="205" t="s">
        <v>1336</v>
      </c>
      <c r="E887" s="202">
        <v>7500</v>
      </c>
      <c r="F887" s="195">
        <f t="shared" si="221"/>
        <v>3750</v>
      </c>
      <c r="G887" s="203">
        <v>2</v>
      </c>
      <c r="H887" s="197">
        <f t="shared" si="222"/>
        <v>400</v>
      </c>
      <c r="I887" s="206"/>
      <c r="J887" s="282">
        <v>7900</v>
      </c>
      <c r="K887" s="288" t="s">
        <v>57</v>
      </c>
      <c r="L887" s="284">
        <v>7500</v>
      </c>
    </row>
    <row r="888" spans="1:12">
      <c r="A888" s="213" t="s">
        <v>58</v>
      </c>
      <c r="B888" s="199">
        <v>45910</v>
      </c>
      <c r="C888" s="204" t="s">
        <v>1550</v>
      </c>
      <c r="D888" s="205" t="s">
        <v>1323</v>
      </c>
      <c r="E888" s="202">
        <v>6500</v>
      </c>
      <c r="F888" s="195">
        <f t="shared" si="221"/>
        <v>3250</v>
      </c>
      <c r="G888" s="203">
        <v>1</v>
      </c>
      <c r="H888" s="197">
        <f t="shared" si="222"/>
        <v>200</v>
      </c>
      <c r="I888" s="206"/>
      <c r="J888" s="254">
        <v>6700</v>
      </c>
      <c r="K888" s="296" t="s">
        <v>378</v>
      </c>
      <c r="L888" s="284">
        <v>6500</v>
      </c>
    </row>
    <row r="889" spans="1:12">
      <c r="A889" s="213" t="s">
        <v>60</v>
      </c>
      <c r="B889" s="199"/>
      <c r="C889" s="204" t="s">
        <v>162</v>
      </c>
      <c r="D889" s="205"/>
      <c r="E889" s="202"/>
      <c r="F889" s="195"/>
      <c r="G889" s="203"/>
      <c r="H889" s="197"/>
      <c r="I889" s="206"/>
      <c r="J889" s="254"/>
      <c r="K889" s="295"/>
      <c r="L889" s="284"/>
    </row>
    <row r="890" spans="1:12">
      <c r="A890" s="214" t="s">
        <v>63</v>
      </c>
      <c r="B890" s="199">
        <v>45914</v>
      </c>
      <c r="C890" s="204" t="s">
        <v>1551</v>
      </c>
      <c r="D890" s="205" t="s">
        <v>1335</v>
      </c>
      <c r="E890" s="206">
        <v>9000</v>
      </c>
      <c r="F890" s="195">
        <f t="shared" si="221"/>
        <v>4500</v>
      </c>
      <c r="G890" s="203">
        <v>2</v>
      </c>
      <c r="H890" s="197">
        <f t="shared" si="222"/>
        <v>400</v>
      </c>
      <c r="I890" s="206"/>
      <c r="J890" s="282">
        <v>9400</v>
      </c>
      <c r="K890" s="288" t="s">
        <v>584</v>
      </c>
      <c r="L890" s="291">
        <v>9000</v>
      </c>
    </row>
    <row r="891" spans="1:12">
      <c r="A891" s="214" t="s">
        <v>67</v>
      </c>
      <c r="B891" s="199">
        <v>45902</v>
      </c>
      <c r="C891" s="204" t="s">
        <v>1545</v>
      </c>
      <c r="D891" s="205" t="s">
        <v>1322</v>
      </c>
      <c r="E891" s="206">
        <v>8500</v>
      </c>
      <c r="F891" s="195">
        <f t="shared" si="221"/>
        <v>4250</v>
      </c>
      <c r="G891" s="203">
        <v>2</v>
      </c>
      <c r="H891" s="197">
        <f t="shared" si="222"/>
        <v>400</v>
      </c>
      <c r="I891" s="206"/>
      <c r="J891" s="282">
        <v>8900</v>
      </c>
      <c r="K891" s="295" t="s">
        <v>1074</v>
      </c>
      <c r="L891" s="284">
        <v>8500</v>
      </c>
    </row>
    <row r="892" spans="1:12">
      <c r="A892" s="214" t="s">
        <v>71</v>
      </c>
      <c r="B892" s="199">
        <v>45901</v>
      </c>
      <c r="C892" s="204" t="s">
        <v>1544</v>
      </c>
      <c r="D892" s="205" t="s">
        <v>1334</v>
      </c>
      <c r="E892" s="206">
        <v>8500</v>
      </c>
      <c r="F892" s="195">
        <f t="shared" si="221"/>
        <v>4250</v>
      </c>
      <c r="G892" s="203">
        <v>2</v>
      </c>
      <c r="H892" s="197">
        <f t="shared" si="222"/>
        <v>400</v>
      </c>
      <c r="I892" s="206"/>
      <c r="J892" s="282">
        <v>8900</v>
      </c>
      <c r="K892" s="288" t="s">
        <v>383</v>
      </c>
      <c r="L892" s="291">
        <v>8500</v>
      </c>
    </row>
    <row r="893" spans="1:12">
      <c r="A893" s="214" t="s">
        <v>74</v>
      </c>
      <c r="B893" s="199">
        <v>45909</v>
      </c>
      <c r="C893" s="204" t="s">
        <v>1547</v>
      </c>
      <c r="D893" s="205" t="s">
        <v>1326</v>
      </c>
      <c r="E893" s="206">
        <v>8000</v>
      </c>
      <c r="F893" s="195">
        <f t="shared" si="221"/>
        <v>4000</v>
      </c>
      <c r="G893" s="203">
        <v>2</v>
      </c>
      <c r="H893" s="197">
        <f t="shared" si="222"/>
        <v>400</v>
      </c>
      <c r="I893" s="206"/>
      <c r="J893" s="282">
        <f>SUM(E893,H893:I893)</f>
        <v>8400</v>
      </c>
      <c r="K893" s="288" t="s">
        <v>76</v>
      </c>
      <c r="L893" s="291">
        <v>8000</v>
      </c>
    </row>
    <row r="894" spans="1:12">
      <c r="A894" s="214" t="s">
        <v>77</v>
      </c>
      <c r="B894" s="199">
        <v>45882</v>
      </c>
      <c r="C894" s="208" t="s">
        <v>1333</v>
      </c>
      <c r="D894" s="205" t="s">
        <v>1324</v>
      </c>
      <c r="E894" s="206">
        <v>8000</v>
      </c>
      <c r="F894" s="195">
        <f t="shared" si="221"/>
        <v>4000</v>
      </c>
      <c r="G894" s="203">
        <v>2</v>
      </c>
      <c r="H894" s="197">
        <f t="shared" si="222"/>
        <v>400</v>
      </c>
      <c r="I894" s="206"/>
      <c r="J894" s="282">
        <f>SUM(E894,H894:I894)</f>
        <v>8400</v>
      </c>
      <c r="K894" s="288" t="s">
        <v>340</v>
      </c>
      <c r="L894" s="291">
        <v>8000</v>
      </c>
    </row>
    <row r="895" spans="1:12">
      <c r="A895" s="214" t="s">
        <v>81</v>
      </c>
      <c r="B895" s="199">
        <v>45897</v>
      </c>
      <c r="C895" s="208" t="s">
        <v>1346</v>
      </c>
      <c r="D895" s="177" t="s">
        <v>1332</v>
      </c>
      <c r="E895" s="209">
        <v>6000</v>
      </c>
      <c r="F895" s="195">
        <f t="shared" si="221"/>
        <v>3000</v>
      </c>
      <c r="G895" s="210">
        <v>1</v>
      </c>
      <c r="H895" s="197">
        <f t="shared" si="222"/>
        <v>200</v>
      </c>
      <c r="I895" s="206"/>
      <c r="J895" s="282">
        <v>6220</v>
      </c>
      <c r="K895" s="295" t="s">
        <v>83</v>
      </c>
      <c r="L895" s="291">
        <v>6000</v>
      </c>
    </row>
    <row r="896" spans="1:12">
      <c r="A896" s="215" t="s">
        <v>84</v>
      </c>
      <c r="B896" s="216">
        <v>45894</v>
      </c>
      <c r="C896" s="208" t="s">
        <v>1340</v>
      </c>
      <c r="D896" s="208" t="s">
        <v>1322</v>
      </c>
      <c r="E896" s="209">
        <v>6000</v>
      </c>
      <c r="F896" s="195">
        <f t="shared" ref="F896" si="223">SUM(E896*0.5)</f>
        <v>3000</v>
      </c>
      <c r="G896" s="210">
        <v>2</v>
      </c>
      <c r="H896" s="197">
        <v>400</v>
      </c>
      <c r="I896" s="209"/>
      <c r="J896" s="254">
        <v>6420</v>
      </c>
      <c r="K896" s="24" t="s">
        <v>1300</v>
      </c>
      <c r="L896" s="287">
        <v>6000</v>
      </c>
    </row>
    <row r="897" spans="1:12" ht="15.75" thickBot="1">
      <c r="A897" s="221"/>
      <c r="B897" s="222"/>
      <c r="C897" s="223"/>
      <c r="D897" s="224"/>
      <c r="E897" s="225">
        <f>SUM(E875:E896)</f>
        <v>142750</v>
      </c>
      <c r="F897" s="226">
        <f>SUM(F875:F896)</f>
        <v>71375</v>
      </c>
      <c r="G897" s="225">
        <f t="shared" ref="G897:J897" si="224">SUM(G875:G896)</f>
        <v>28</v>
      </c>
      <c r="H897" s="227">
        <f t="shared" si="224"/>
        <v>5800</v>
      </c>
      <c r="I897" s="225"/>
      <c r="J897" s="227">
        <f t="shared" si="224"/>
        <v>148110</v>
      </c>
      <c r="K897" s="306"/>
      <c r="L897" s="307">
        <f>SUM(L875:L896)</f>
        <v>140500</v>
      </c>
    </row>
    <row r="898" spans="1:12">
      <c r="A898" s="228" t="s">
        <v>88</v>
      </c>
      <c r="B898" s="229"/>
      <c r="C898" s="230"/>
      <c r="D898" s="205"/>
      <c r="E898" s="195"/>
      <c r="F898" s="195"/>
      <c r="G898" s="231"/>
      <c r="H898" s="195"/>
      <c r="I898" s="195"/>
      <c r="J898" s="230"/>
      <c r="K898" s="309"/>
      <c r="L898" s="291"/>
    </row>
    <row r="899" spans="1:12">
      <c r="A899" s="176" t="s">
        <v>89</v>
      </c>
      <c r="B899" s="199">
        <v>45882</v>
      </c>
      <c r="C899" s="204" t="s">
        <v>90</v>
      </c>
      <c r="D899" s="205" t="s">
        <v>1331</v>
      </c>
      <c r="E899" s="206">
        <v>10000</v>
      </c>
      <c r="F899" s="195"/>
      <c r="G899" s="232">
        <v>2</v>
      </c>
      <c r="H899" s="197">
        <f t="shared" ref="H899:H903" si="225">SUM(G899*200)</f>
        <v>400</v>
      </c>
      <c r="I899" s="206"/>
      <c r="J899" s="282">
        <v>10400</v>
      </c>
      <c r="K899" s="288" t="s">
        <v>92</v>
      </c>
      <c r="L899" s="291">
        <v>10000</v>
      </c>
    </row>
    <row r="900" spans="1:12">
      <c r="A900" s="176" t="s">
        <v>93</v>
      </c>
      <c r="B900" s="199">
        <v>45900</v>
      </c>
      <c r="C900" s="207" t="s">
        <v>94</v>
      </c>
      <c r="D900" s="177" t="s">
        <v>1330</v>
      </c>
      <c r="E900" s="212">
        <v>10000</v>
      </c>
      <c r="F900" s="233"/>
      <c r="G900" s="210">
        <v>2</v>
      </c>
      <c r="H900" s="197">
        <f t="shared" si="225"/>
        <v>400</v>
      </c>
      <c r="I900" s="202"/>
      <c r="J900" s="282">
        <v>10400</v>
      </c>
      <c r="K900" s="310" t="s">
        <v>96</v>
      </c>
      <c r="L900" s="284">
        <v>6000</v>
      </c>
    </row>
    <row r="901" spans="1:12">
      <c r="A901" s="176" t="s">
        <v>97</v>
      </c>
      <c r="B901" s="199">
        <v>45897</v>
      </c>
      <c r="C901" s="204" t="s">
        <v>98</v>
      </c>
      <c r="D901" s="205" t="s">
        <v>1329</v>
      </c>
      <c r="E901" s="234">
        <v>12000</v>
      </c>
      <c r="F901" s="235"/>
      <c r="G901" s="232">
        <v>2</v>
      </c>
      <c r="H901" s="197">
        <f t="shared" si="225"/>
        <v>400</v>
      </c>
      <c r="I901" s="206"/>
      <c r="J901" s="282">
        <v>12400</v>
      </c>
      <c r="K901" s="288" t="s">
        <v>99</v>
      </c>
      <c r="L901" s="291">
        <v>12000</v>
      </c>
    </row>
    <row r="902" spans="1:12">
      <c r="A902" s="176" t="s">
        <v>100</v>
      </c>
      <c r="B902" s="199">
        <v>45899</v>
      </c>
      <c r="C902" s="236" t="s">
        <v>1318</v>
      </c>
      <c r="D902" s="205" t="s">
        <v>1328</v>
      </c>
      <c r="E902" s="206">
        <v>12000</v>
      </c>
      <c r="F902" s="195"/>
      <c r="G902" s="232">
        <v>4</v>
      </c>
      <c r="H902" s="197">
        <f t="shared" si="225"/>
        <v>800</v>
      </c>
      <c r="I902" s="206"/>
      <c r="J902" s="282">
        <v>12800</v>
      </c>
      <c r="K902" s="311" t="s">
        <v>1214</v>
      </c>
      <c r="L902" s="291">
        <v>12000</v>
      </c>
    </row>
    <row r="903" spans="1:12">
      <c r="A903" s="176" t="s">
        <v>104</v>
      </c>
      <c r="B903" s="339">
        <v>45905</v>
      </c>
      <c r="C903" s="237" t="s">
        <v>105</v>
      </c>
      <c r="D903" s="205" t="s">
        <v>1327</v>
      </c>
      <c r="E903" s="206">
        <v>12000</v>
      </c>
      <c r="F903" s="195"/>
      <c r="G903" s="238">
        <v>3</v>
      </c>
      <c r="H903" s="197">
        <f t="shared" si="225"/>
        <v>600</v>
      </c>
      <c r="I903" s="219"/>
      <c r="J903" s="282">
        <v>12600</v>
      </c>
      <c r="K903" s="311" t="s">
        <v>107</v>
      </c>
      <c r="L903" s="291">
        <v>12000</v>
      </c>
    </row>
    <row r="904" spans="1:12" ht="15.75" thickBot="1">
      <c r="A904" s="239"/>
      <c r="B904" s="240"/>
      <c r="C904" s="241" t="s">
        <v>108</v>
      </c>
      <c r="D904" s="242"/>
      <c r="E904" s="243">
        <f>SUM(E899:E902)</f>
        <v>44000</v>
      </c>
      <c r="F904" s="226"/>
      <c r="G904" s="226">
        <f>SUM(G899:G902)</f>
        <v>10</v>
      </c>
      <c r="H904" s="226">
        <f>SUM(H899:H902)</f>
        <v>2000</v>
      </c>
      <c r="I904" s="243">
        <f>SUM(I899:I902)</f>
        <v>0</v>
      </c>
      <c r="J904" s="226">
        <f>SUM(J899:J902)</f>
        <v>46000</v>
      </c>
      <c r="K904" s="306"/>
      <c r="L904" s="312">
        <f>SUM(L899:L903)</f>
        <v>52000</v>
      </c>
    </row>
    <row r="905" spans="1:12">
      <c r="A905" s="228" t="s">
        <v>109</v>
      </c>
      <c r="B905" s="244"/>
      <c r="C905" s="245"/>
      <c r="D905" s="205"/>
      <c r="E905" s="195"/>
      <c r="F905" s="195"/>
      <c r="G905" s="231"/>
      <c r="H905" s="195"/>
      <c r="I905" s="195"/>
      <c r="J905" s="195"/>
      <c r="K905" s="309"/>
      <c r="L905" s="313"/>
    </row>
    <row r="906" spans="1:12" ht="15.75" thickBot="1">
      <c r="A906" s="246" t="s">
        <v>110</v>
      </c>
      <c r="B906" s="247"/>
      <c r="C906" s="248" t="s">
        <v>111</v>
      </c>
      <c r="D906" s="242"/>
      <c r="E906" s="243"/>
      <c r="F906" s="226"/>
      <c r="G906" s="249"/>
      <c r="H906" s="226"/>
      <c r="I906" s="243"/>
      <c r="J906" s="226"/>
      <c r="K906" s="306"/>
      <c r="L906" s="312"/>
    </row>
    <row r="907" spans="1:12">
      <c r="A907" s="228" t="s">
        <v>112</v>
      </c>
      <c r="B907" s="250"/>
      <c r="C907" s="245"/>
      <c r="D907" s="205"/>
      <c r="E907" s="195"/>
      <c r="F907" s="195"/>
      <c r="G907" s="231"/>
      <c r="H907" s="195"/>
      <c r="I907" s="195"/>
      <c r="J907" s="195"/>
      <c r="K907" s="309"/>
      <c r="L907" s="313"/>
    </row>
    <row r="908" spans="1:12">
      <c r="A908" s="176" t="s">
        <v>113</v>
      </c>
      <c r="B908" s="199">
        <v>45880</v>
      </c>
      <c r="C908" s="251" t="s">
        <v>114</v>
      </c>
      <c r="D908" s="177" t="s">
        <v>1324</v>
      </c>
      <c r="E908" s="206">
        <v>12600</v>
      </c>
      <c r="F908" s="230"/>
      <c r="G908" s="209">
        <v>2</v>
      </c>
      <c r="H908" s="197">
        <f t="shared" ref="H908:H910" si="226">SUM(G908*200)</f>
        <v>400</v>
      </c>
      <c r="I908" s="314"/>
      <c r="J908" s="282">
        <v>12400</v>
      </c>
      <c r="K908" s="295" t="s">
        <v>115</v>
      </c>
      <c r="L908" s="291">
        <v>12000</v>
      </c>
    </row>
    <row r="909" spans="1:12">
      <c r="A909" s="176" t="s">
        <v>116</v>
      </c>
      <c r="B909" s="199">
        <v>45871</v>
      </c>
      <c r="C909" s="252" t="s">
        <v>117</v>
      </c>
      <c r="D909" s="205" t="s">
        <v>1325</v>
      </c>
      <c r="E909" s="206">
        <v>7000</v>
      </c>
      <c r="F909" s="195"/>
      <c r="G909" s="209">
        <v>1</v>
      </c>
      <c r="H909" s="197">
        <f t="shared" si="226"/>
        <v>200</v>
      </c>
      <c r="I909" s="314"/>
      <c r="J909" s="282">
        <v>7200</v>
      </c>
      <c r="K909" s="288" t="s">
        <v>119</v>
      </c>
      <c r="L909" s="291">
        <v>7000</v>
      </c>
    </row>
    <row r="910" spans="1:12">
      <c r="A910" s="176" t="s">
        <v>120</v>
      </c>
      <c r="B910" s="199">
        <v>45889</v>
      </c>
      <c r="C910" s="253" t="s">
        <v>121</v>
      </c>
      <c r="D910" s="177" t="s">
        <v>1326</v>
      </c>
      <c r="E910" s="209">
        <v>10000</v>
      </c>
      <c r="F910" s="254"/>
      <c r="G910" s="209">
        <v>2</v>
      </c>
      <c r="H910" s="197">
        <f t="shared" si="226"/>
        <v>400</v>
      </c>
      <c r="I910" s="315"/>
      <c r="J910" s="254">
        <v>10400</v>
      </c>
      <c r="K910" s="316" t="s">
        <v>122</v>
      </c>
      <c r="L910" s="291">
        <v>10000</v>
      </c>
    </row>
    <row r="911" spans="1:12" ht="15.75" thickBot="1">
      <c r="A911" s="246"/>
      <c r="B911" s="247"/>
      <c r="C911" s="255"/>
      <c r="D911" s="242"/>
      <c r="E911" s="256">
        <f>SUM(E908:E910)</f>
        <v>29600</v>
      </c>
      <c r="F911" s="257"/>
      <c r="G911" s="256">
        <f>SUM(G908:G910)</f>
        <v>5</v>
      </c>
      <c r="H911" s="257">
        <f>SUM(H908:H910)</f>
        <v>1000</v>
      </c>
      <c r="I911" s="257">
        <f>SUM(I908:I910)</f>
        <v>0</v>
      </c>
      <c r="J911" s="257">
        <f>SUM(J908:J910)</f>
        <v>30000</v>
      </c>
      <c r="K911" s="317"/>
      <c r="L911" s="312">
        <f>SUM(L908:L910)</f>
        <v>29000</v>
      </c>
    </row>
    <row r="912" spans="1:12">
      <c r="B912" s="244"/>
      <c r="C912" s="80"/>
      <c r="D912" s="258"/>
      <c r="E912" s="259">
        <f>SUM(E897,E904,E906,E911)</f>
        <v>216350</v>
      </c>
      <c r="F912" s="260"/>
      <c r="G912" s="259">
        <f>SUM(G897,G904,G906,G911)</f>
        <v>43</v>
      </c>
      <c r="H912" s="259">
        <f>SUM(H897,H904,H906,H911)</f>
        <v>8800</v>
      </c>
      <c r="I912" s="318">
        <f>SUM(I897,I904,I906,I911)</f>
        <v>0</v>
      </c>
      <c r="J912" s="259">
        <f>SUM(J897,J904,J906,J911)</f>
        <v>224110</v>
      </c>
      <c r="K912" s="319"/>
      <c r="L912" s="291"/>
    </row>
    <row r="913" spans="1:12">
      <c r="A913" s="228" t="s">
        <v>123</v>
      </c>
      <c r="B913" s="261"/>
      <c r="C913" s="262"/>
      <c r="D913" s="15"/>
      <c r="E913" s="195"/>
      <c r="F913" s="263" t="s">
        <v>124</v>
      </c>
      <c r="G913" s="264"/>
      <c r="H913" s="195"/>
      <c r="I913" s="195"/>
      <c r="J913" s="230"/>
      <c r="K913" s="309"/>
      <c r="L913" s="284"/>
    </row>
    <row r="914" spans="1:12">
      <c r="A914" s="176" t="s">
        <v>125</v>
      </c>
      <c r="B914" s="199">
        <v>45894</v>
      </c>
      <c r="C914" s="265" t="s">
        <v>126</v>
      </c>
      <c r="D914" s="205" t="s">
        <v>1328</v>
      </c>
      <c r="E914" s="202">
        <v>5000</v>
      </c>
      <c r="F914" s="266">
        <v>325</v>
      </c>
      <c r="G914" s="203">
        <v>2</v>
      </c>
      <c r="H914" s="266">
        <f t="shared" ref="H914:H915" si="227">SUM(G914*200)</f>
        <v>400</v>
      </c>
      <c r="I914" s="202"/>
      <c r="J914" s="282">
        <v>5900</v>
      </c>
      <c r="K914" s="319" t="s">
        <v>128</v>
      </c>
      <c r="L914" s="284">
        <v>5000</v>
      </c>
    </row>
    <row r="915" spans="1:12">
      <c r="A915" s="176" t="s">
        <v>129</v>
      </c>
      <c r="B915" s="199">
        <v>45899</v>
      </c>
      <c r="C915" s="265" t="s">
        <v>130</v>
      </c>
      <c r="D915" s="205" t="s">
        <v>1349</v>
      </c>
      <c r="E915" s="206">
        <v>5500</v>
      </c>
      <c r="F915" s="195"/>
      <c r="G915" s="203">
        <v>1</v>
      </c>
      <c r="H915" s="266">
        <f t="shared" si="227"/>
        <v>200</v>
      </c>
      <c r="I915" s="206"/>
      <c r="J915" s="282">
        <f>SUM(E915,H915:I915)</f>
        <v>5700</v>
      </c>
      <c r="K915" s="319" t="s">
        <v>132</v>
      </c>
      <c r="L915" s="291">
        <v>5500</v>
      </c>
    </row>
    <row r="916" spans="1:12" ht="15.75" thickBot="1">
      <c r="A916" s="267" t="s">
        <v>133</v>
      </c>
      <c r="B916" s="268"/>
      <c r="C916" s="269"/>
      <c r="D916" s="242"/>
      <c r="E916" s="270">
        <f>SUM(E914:E915)</f>
        <v>10500</v>
      </c>
      <c r="F916" s="226">
        <f t="shared" ref="F916:I916" si="228">SUM(F914:F915)</f>
        <v>325</v>
      </c>
      <c r="G916" s="243">
        <f t="shared" si="228"/>
        <v>3</v>
      </c>
      <c r="H916" s="226">
        <f t="shared" si="228"/>
        <v>600</v>
      </c>
      <c r="I916" s="320">
        <f t="shared" si="228"/>
        <v>0</v>
      </c>
      <c r="J916" s="321">
        <f>SUM(F916,H916,I916,)</f>
        <v>925</v>
      </c>
      <c r="K916" s="322"/>
      <c r="L916" s="322"/>
    </row>
    <row r="917" spans="1:12">
      <c r="E917" s="271" t="s">
        <v>134</v>
      </c>
      <c r="F917" s="272">
        <f>SUM(F912,F916)</f>
        <v>325</v>
      </c>
      <c r="H917" s="272">
        <f>SUM(H912,H916)</f>
        <v>9400</v>
      </c>
      <c r="I917" s="324">
        <f>SUM(I912,I916)</f>
        <v>0</v>
      </c>
      <c r="J917" s="325" t="s">
        <v>135</v>
      </c>
    </row>
    <row r="918" spans="1:12">
      <c r="D918" s="326">
        <f>SUM(E418,E462,E507,E552,E597,E642,E687,E732,E777,E822,E867,E912)</f>
        <v>547100</v>
      </c>
      <c r="E918" s="326">
        <f>SUM(E403,E447,E492,E543,E582,E627,E672,E717,E762,E807,E852,E897)</f>
        <v>208250</v>
      </c>
    </row>
    <row r="920" spans="1:12" ht="18.75" thickBot="1">
      <c r="A920" s="185" t="s">
        <v>8</v>
      </c>
      <c r="B920" s="348" t="s">
        <v>797</v>
      </c>
      <c r="C920" s="187"/>
    </row>
    <row r="921" spans="1:12">
      <c r="A921" s="190" t="s">
        <v>10</v>
      </c>
      <c r="B921" s="191">
        <v>45933</v>
      </c>
      <c r="C921" s="7" t="s">
        <v>1569</v>
      </c>
      <c r="D921" s="193" t="s">
        <v>1535</v>
      </c>
      <c r="E921" s="194">
        <v>8000</v>
      </c>
      <c r="F921" s="195">
        <f>SUM(E921*0.5)</f>
        <v>4000</v>
      </c>
      <c r="G921" s="196">
        <v>1</v>
      </c>
      <c r="H921" s="197">
        <f t="shared" ref="H921:H923" si="229">SUM(G921*200)</f>
        <v>200</v>
      </c>
      <c r="I921" s="194"/>
      <c r="J921" s="279">
        <v>8200</v>
      </c>
      <c r="K921" s="280" t="s">
        <v>13</v>
      </c>
      <c r="L921" s="281">
        <v>8000</v>
      </c>
    </row>
    <row r="922" spans="1:12">
      <c r="A922" s="198" t="s">
        <v>14</v>
      </c>
      <c r="B922" s="199">
        <v>45929</v>
      </c>
      <c r="C922" s="201" t="s">
        <v>1562</v>
      </c>
      <c r="D922" s="201" t="s">
        <v>1536</v>
      </c>
      <c r="E922" s="202">
        <v>8500</v>
      </c>
      <c r="F922" s="195">
        <f>SUM(E922*0.5)</f>
        <v>4250</v>
      </c>
      <c r="G922" s="203">
        <v>3</v>
      </c>
      <c r="H922" s="197">
        <f t="shared" si="229"/>
        <v>600</v>
      </c>
      <c r="I922" s="206"/>
      <c r="J922" s="282">
        <v>9100</v>
      </c>
      <c r="K922" s="283" t="s">
        <v>314</v>
      </c>
      <c r="L922" s="284">
        <v>8500</v>
      </c>
    </row>
    <row r="923" spans="1:12">
      <c r="A923" s="190" t="s">
        <v>18</v>
      </c>
      <c r="B923" s="199">
        <v>45930</v>
      </c>
      <c r="C923" s="14" t="s">
        <v>1565</v>
      </c>
      <c r="D923" s="205" t="s">
        <v>1537</v>
      </c>
      <c r="E923" s="202">
        <v>8000</v>
      </c>
      <c r="F923" s="195">
        <f t="shared" ref="F923:F924" si="230">SUM(E923*0.5)</f>
        <v>4000</v>
      </c>
      <c r="G923" s="203">
        <v>1</v>
      </c>
      <c r="H923" s="197">
        <f t="shared" si="229"/>
        <v>200</v>
      </c>
      <c r="I923" s="206"/>
      <c r="J923" s="282">
        <f>SUM(E923,H923:I923)</f>
        <v>8200</v>
      </c>
      <c r="K923" s="288" t="s">
        <v>21</v>
      </c>
      <c r="L923" s="284">
        <v>8000</v>
      </c>
    </row>
    <row r="924" spans="1:12" ht="25.5">
      <c r="A924" s="190" t="s">
        <v>22</v>
      </c>
      <c r="B924" s="199">
        <v>45909</v>
      </c>
      <c r="C924" s="26" t="s">
        <v>1548</v>
      </c>
      <c r="D924" s="205" t="s">
        <v>1538</v>
      </c>
      <c r="E924" s="206">
        <v>7250</v>
      </c>
      <c r="F924" s="195">
        <f t="shared" si="230"/>
        <v>3625</v>
      </c>
      <c r="G924" s="203">
        <v>1</v>
      </c>
      <c r="H924" s="197">
        <f t="shared" ref="H924" si="231">SUM(G924*200)</f>
        <v>200</v>
      </c>
      <c r="I924" s="206"/>
      <c r="J924" s="282">
        <v>7450</v>
      </c>
      <c r="K924" s="290" t="s">
        <v>25</v>
      </c>
      <c r="L924" s="291">
        <v>5000</v>
      </c>
    </row>
    <row r="925" spans="1:12">
      <c r="A925" s="190" t="s">
        <v>26</v>
      </c>
      <c r="B925" s="199"/>
      <c r="C925" s="208" t="s">
        <v>162</v>
      </c>
      <c r="D925" s="208"/>
      <c r="E925" s="209"/>
      <c r="F925" s="195"/>
      <c r="G925" s="210"/>
      <c r="H925" s="197"/>
      <c r="I925" s="209"/>
      <c r="J925" s="254"/>
      <c r="K925" s="24"/>
      <c r="L925" s="287"/>
    </row>
    <row r="926" spans="1:12">
      <c r="A926" s="190" t="s">
        <v>30</v>
      </c>
      <c r="B926" s="199">
        <v>45930</v>
      </c>
      <c r="C926" s="363" t="s">
        <v>1564</v>
      </c>
      <c r="D926" s="205" t="s">
        <v>1539</v>
      </c>
      <c r="E926" s="209">
        <v>6500</v>
      </c>
      <c r="F926" s="195">
        <v>3250</v>
      </c>
      <c r="G926" s="210">
        <v>3</v>
      </c>
      <c r="H926" s="197">
        <v>600</v>
      </c>
      <c r="I926" s="209"/>
      <c r="J926" s="254">
        <v>7100</v>
      </c>
      <c r="K926" s="294" t="s">
        <v>1344</v>
      </c>
      <c r="L926" s="287">
        <v>6500</v>
      </c>
    </row>
    <row r="927" spans="1:12">
      <c r="A927" s="190" t="s">
        <v>33</v>
      </c>
      <c r="B927" s="199">
        <v>45927</v>
      </c>
      <c r="C927" s="14" t="s">
        <v>1556</v>
      </c>
      <c r="D927" s="205" t="s">
        <v>1540</v>
      </c>
      <c r="E927" s="202">
        <v>6000</v>
      </c>
      <c r="F927" s="195">
        <f t="shared" ref="F927:F929" si="232">SUM(E927*0.5)</f>
        <v>3000</v>
      </c>
      <c r="G927" s="210">
        <v>1</v>
      </c>
      <c r="H927" s="197">
        <f t="shared" ref="H927:H929" si="233">SUM(G927*200)</f>
        <v>200</v>
      </c>
      <c r="I927" s="202"/>
      <c r="J927" s="197">
        <v>6200</v>
      </c>
      <c r="K927" s="288" t="s">
        <v>17</v>
      </c>
      <c r="L927" s="284">
        <v>6000</v>
      </c>
    </row>
    <row r="928" spans="1:12">
      <c r="A928" s="190" t="s">
        <v>35</v>
      </c>
      <c r="B928" s="199"/>
      <c r="C928" s="211" t="s">
        <v>162</v>
      </c>
      <c r="D928" s="177"/>
      <c r="E928" s="212"/>
      <c r="F928" s="195"/>
      <c r="G928" s="210"/>
      <c r="H928" s="197"/>
      <c r="I928" s="206"/>
      <c r="J928" s="282"/>
      <c r="K928" s="295"/>
      <c r="L928" s="284"/>
    </row>
    <row r="929" spans="1:12">
      <c r="A929" s="213" t="s">
        <v>39</v>
      </c>
      <c r="B929" s="199">
        <v>45927</v>
      </c>
      <c r="C929" s="14" t="s">
        <v>1555</v>
      </c>
      <c r="D929" s="205" t="s">
        <v>1553</v>
      </c>
      <c r="E929" s="202">
        <v>8000</v>
      </c>
      <c r="F929" s="195">
        <f t="shared" si="232"/>
        <v>4000</v>
      </c>
      <c r="G929" s="203">
        <v>1</v>
      </c>
      <c r="H929" s="197">
        <f t="shared" si="233"/>
        <v>200</v>
      </c>
      <c r="I929" s="202"/>
      <c r="J929" s="282">
        <v>8200</v>
      </c>
      <c r="K929" s="288" t="s">
        <v>42</v>
      </c>
      <c r="L929" s="284">
        <v>8000</v>
      </c>
    </row>
    <row r="930" spans="1:12">
      <c r="A930" s="213" t="s">
        <v>43</v>
      </c>
      <c r="B930" s="199"/>
      <c r="C930" s="204" t="s">
        <v>162</v>
      </c>
      <c r="D930" s="14"/>
      <c r="E930" s="202"/>
      <c r="F930" s="195"/>
      <c r="G930" s="203"/>
      <c r="H930" s="197"/>
      <c r="I930" s="206"/>
      <c r="J930" s="282"/>
      <c r="K930" s="288"/>
      <c r="L930" s="284"/>
    </row>
    <row r="931" spans="1:12">
      <c r="A931" s="213" t="s">
        <v>47</v>
      </c>
      <c r="B931" s="199">
        <v>45927</v>
      </c>
      <c r="C931" s="204" t="s">
        <v>1557</v>
      </c>
      <c r="D931" s="205" t="s">
        <v>1539</v>
      </c>
      <c r="E931" s="202">
        <v>8000</v>
      </c>
      <c r="F931" s="195">
        <f t="shared" ref="F931:F942" si="234">SUM(E931*0.5)</f>
        <v>4000</v>
      </c>
      <c r="G931" s="203">
        <v>1</v>
      </c>
      <c r="H931" s="197">
        <f t="shared" ref="H931:H941" si="235">SUM(G931*200)</f>
        <v>200</v>
      </c>
      <c r="I931" s="202"/>
      <c r="J931" s="282">
        <v>8200</v>
      </c>
      <c r="K931" s="288" t="s">
        <v>50</v>
      </c>
      <c r="L931" s="291">
        <v>8000</v>
      </c>
    </row>
    <row r="932" spans="1:12">
      <c r="A932" s="213" t="s">
        <v>51</v>
      </c>
      <c r="B932" s="199">
        <v>45927</v>
      </c>
      <c r="C932" s="204" t="s">
        <v>1554</v>
      </c>
      <c r="D932" s="205" t="s">
        <v>1540</v>
      </c>
      <c r="E932" s="212">
        <v>8500</v>
      </c>
      <c r="F932" s="195">
        <f t="shared" si="234"/>
        <v>4250</v>
      </c>
      <c r="G932" s="210">
        <v>2</v>
      </c>
      <c r="H932" s="197">
        <f t="shared" si="235"/>
        <v>400</v>
      </c>
      <c r="I932" s="212"/>
      <c r="J932" s="282">
        <v>8920</v>
      </c>
      <c r="K932" s="295" t="s">
        <v>577</v>
      </c>
      <c r="L932" s="284">
        <v>8500</v>
      </c>
    </row>
    <row r="933" spans="1:12">
      <c r="A933" s="213" t="s">
        <v>55</v>
      </c>
      <c r="B933" s="199">
        <v>45929</v>
      </c>
      <c r="C933" s="204" t="s">
        <v>1561</v>
      </c>
      <c r="D933" s="205" t="s">
        <v>1539</v>
      </c>
      <c r="E933" s="202">
        <v>7500</v>
      </c>
      <c r="F933" s="195">
        <f t="shared" si="234"/>
        <v>3750</v>
      </c>
      <c r="G933" s="203">
        <v>2</v>
      </c>
      <c r="H933" s="197">
        <f t="shared" si="235"/>
        <v>400</v>
      </c>
      <c r="I933" s="206"/>
      <c r="J933" s="282">
        <v>7900</v>
      </c>
      <c r="K933" s="288" t="s">
        <v>57</v>
      </c>
      <c r="L933" s="284">
        <v>7500</v>
      </c>
    </row>
    <row r="934" spans="1:12">
      <c r="A934" s="213" t="s">
        <v>58</v>
      </c>
      <c r="B934" s="199">
        <v>45928</v>
      </c>
      <c r="C934" s="204" t="s">
        <v>1560</v>
      </c>
      <c r="D934" s="205" t="s">
        <v>1538</v>
      </c>
      <c r="E934" s="202">
        <v>6500</v>
      </c>
      <c r="F934" s="195">
        <f t="shared" si="234"/>
        <v>3250</v>
      </c>
      <c r="G934" s="203">
        <v>1</v>
      </c>
      <c r="H934" s="197">
        <f t="shared" si="235"/>
        <v>200</v>
      </c>
      <c r="I934" s="206"/>
      <c r="J934" s="254">
        <v>6700</v>
      </c>
      <c r="K934" s="296" t="s">
        <v>378</v>
      </c>
      <c r="L934" s="284">
        <v>6500</v>
      </c>
    </row>
    <row r="935" spans="1:12">
      <c r="A935" s="213" t="s">
        <v>60</v>
      </c>
      <c r="B935" s="199"/>
      <c r="C935" s="204" t="s">
        <v>162</v>
      </c>
      <c r="D935" s="205"/>
      <c r="E935" s="202"/>
      <c r="F935" s="195"/>
      <c r="G935" s="203"/>
      <c r="H935" s="197"/>
      <c r="I935" s="206"/>
      <c r="J935" s="254"/>
      <c r="K935" s="295"/>
      <c r="L935" s="284"/>
    </row>
    <row r="936" spans="1:12">
      <c r="A936" s="214" t="s">
        <v>63</v>
      </c>
      <c r="B936" s="199">
        <v>45940</v>
      </c>
      <c r="C936" s="204" t="s">
        <v>1579</v>
      </c>
      <c r="D936" s="205" t="s">
        <v>1570</v>
      </c>
      <c r="E936" s="206">
        <v>9000</v>
      </c>
      <c r="F936" s="195">
        <f t="shared" si="234"/>
        <v>4500</v>
      </c>
      <c r="G936" s="203">
        <v>2</v>
      </c>
      <c r="H936" s="197">
        <f t="shared" si="235"/>
        <v>400</v>
      </c>
      <c r="I936" s="206"/>
      <c r="J936" s="282">
        <v>9400</v>
      </c>
      <c r="K936" s="288" t="s">
        <v>584</v>
      </c>
      <c r="L936" s="291">
        <v>9000</v>
      </c>
    </row>
    <row r="937" spans="1:12">
      <c r="A937" s="214" t="s">
        <v>67</v>
      </c>
      <c r="B937" s="199">
        <v>45931</v>
      </c>
      <c r="C937" s="204" t="s">
        <v>1568</v>
      </c>
      <c r="D937" s="205" t="s">
        <v>1537</v>
      </c>
      <c r="E937" s="206">
        <v>8500</v>
      </c>
      <c r="F937" s="195">
        <f t="shared" si="234"/>
        <v>4250</v>
      </c>
      <c r="G937" s="203">
        <v>2</v>
      </c>
      <c r="H937" s="197">
        <f t="shared" si="235"/>
        <v>400</v>
      </c>
      <c r="I937" s="206"/>
      <c r="J937" s="282">
        <v>8900</v>
      </c>
      <c r="K937" s="295" t="s">
        <v>1074</v>
      </c>
      <c r="L937" s="284">
        <v>8500</v>
      </c>
    </row>
    <row r="938" spans="1:12">
      <c r="A938" s="214" t="s">
        <v>71</v>
      </c>
      <c r="B938" s="199">
        <v>45930</v>
      </c>
      <c r="C938" s="204" t="s">
        <v>1566</v>
      </c>
      <c r="D938" s="205" t="s">
        <v>1567</v>
      </c>
      <c r="E938" s="206">
        <v>8500</v>
      </c>
      <c r="F938" s="195">
        <f t="shared" si="234"/>
        <v>4250</v>
      </c>
      <c r="G938" s="203">
        <v>2</v>
      </c>
      <c r="H938" s="197">
        <f t="shared" si="235"/>
        <v>400</v>
      </c>
      <c r="I938" s="206"/>
      <c r="J938" s="282">
        <v>8900</v>
      </c>
      <c r="K938" s="288" t="s">
        <v>383</v>
      </c>
      <c r="L938" s="291">
        <v>8500</v>
      </c>
    </row>
    <row r="939" spans="1:12">
      <c r="A939" s="214" t="s">
        <v>74</v>
      </c>
      <c r="B939" s="199"/>
      <c r="C939" s="204" t="s">
        <v>162</v>
      </c>
      <c r="D939" s="205"/>
      <c r="E939" s="206"/>
      <c r="F939" s="195"/>
      <c r="G939" s="203"/>
      <c r="H939" s="197"/>
      <c r="I939" s="206"/>
      <c r="J939" s="282"/>
      <c r="K939" s="288"/>
      <c r="L939" s="291"/>
    </row>
    <row r="940" spans="1:12">
      <c r="A940" s="214" t="s">
        <v>77</v>
      </c>
      <c r="B940" s="199">
        <v>45914</v>
      </c>
      <c r="C940" s="208" t="s">
        <v>1552</v>
      </c>
      <c r="D940" s="205" t="s">
        <v>1553</v>
      </c>
      <c r="E940" s="206">
        <v>8000</v>
      </c>
      <c r="F940" s="195">
        <f t="shared" si="234"/>
        <v>4000</v>
      </c>
      <c r="G940" s="203">
        <v>2</v>
      </c>
      <c r="H940" s="197">
        <f t="shared" si="235"/>
        <v>400</v>
      </c>
      <c r="I940" s="206"/>
      <c r="J940" s="282">
        <v>8400</v>
      </c>
      <c r="K940" s="288" t="s">
        <v>340</v>
      </c>
      <c r="L940" s="291">
        <v>8000</v>
      </c>
    </row>
    <row r="941" spans="1:12">
      <c r="A941" s="214" t="s">
        <v>81</v>
      </c>
      <c r="B941" s="199">
        <v>45928</v>
      </c>
      <c r="C941" s="208" t="s">
        <v>1558</v>
      </c>
      <c r="D941" s="177" t="s">
        <v>1559</v>
      </c>
      <c r="E941" s="209">
        <v>6000</v>
      </c>
      <c r="F941" s="195">
        <f t="shared" si="234"/>
        <v>3000</v>
      </c>
      <c r="G941" s="210">
        <v>1</v>
      </c>
      <c r="H941" s="197">
        <f t="shared" si="235"/>
        <v>200</v>
      </c>
      <c r="I941" s="206"/>
      <c r="J941" s="282">
        <v>6200</v>
      </c>
      <c r="K941" s="295" t="s">
        <v>83</v>
      </c>
      <c r="L941" s="291">
        <v>6000</v>
      </c>
    </row>
    <row r="942" spans="1:12">
      <c r="A942" s="215" t="s">
        <v>84</v>
      </c>
      <c r="B942" s="216">
        <v>45930</v>
      </c>
      <c r="C942" s="208" t="s">
        <v>1563</v>
      </c>
      <c r="D942" s="208" t="s">
        <v>1537</v>
      </c>
      <c r="E942" s="209">
        <v>6500</v>
      </c>
      <c r="F942" s="195">
        <f t="shared" si="234"/>
        <v>3250</v>
      </c>
      <c r="G942" s="210">
        <v>2</v>
      </c>
      <c r="H942" s="197">
        <v>400</v>
      </c>
      <c r="I942" s="209"/>
      <c r="J942" s="254">
        <v>6900</v>
      </c>
      <c r="K942" s="24" t="s">
        <v>1300</v>
      </c>
      <c r="L942" s="287">
        <v>6000</v>
      </c>
    </row>
    <row r="943" spans="1:12" ht="15.75" thickBot="1">
      <c r="A943" s="221"/>
      <c r="B943" s="222"/>
      <c r="C943" s="223"/>
      <c r="D943" s="224"/>
      <c r="E943" s="225">
        <f>SUM(E921:E942)</f>
        <v>129250</v>
      </c>
      <c r="F943" s="226">
        <f>SUM(F921:F942)</f>
        <v>64625</v>
      </c>
      <c r="G943" s="225">
        <f t="shared" ref="G943:J943" si="236">SUM(G921:G942)</f>
        <v>28</v>
      </c>
      <c r="H943" s="227">
        <f t="shared" si="236"/>
        <v>5600</v>
      </c>
      <c r="I943" s="225">
        <f t="shared" si="236"/>
        <v>0</v>
      </c>
      <c r="J943" s="227">
        <f t="shared" si="236"/>
        <v>134870</v>
      </c>
      <c r="K943" s="306"/>
      <c r="L943" s="307">
        <f>SUM(L921:L942)</f>
        <v>126500</v>
      </c>
    </row>
    <row r="944" spans="1:12">
      <c r="A944" s="228" t="s">
        <v>88</v>
      </c>
      <c r="B944" s="229"/>
      <c r="C944" s="230"/>
      <c r="D944" s="205"/>
      <c r="E944" s="195"/>
      <c r="F944" s="195"/>
      <c r="G944" s="231"/>
      <c r="H944" s="195"/>
      <c r="I944" s="195"/>
      <c r="J944" s="230"/>
      <c r="K944" s="309"/>
      <c r="L944" s="291"/>
    </row>
    <row r="945" spans="1:12">
      <c r="A945" s="176" t="s">
        <v>89</v>
      </c>
      <c r="B945" s="199">
        <v>45915</v>
      </c>
      <c r="C945" s="204" t="s">
        <v>90</v>
      </c>
      <c r="D945" s="205" t="s">
        <v>1573</v>
      </c>
      <c r="E945" s="206">
        <v>10000</v>
      </c>
      <c r="F945" s="195"/>
      <c r="G945" s="232">
        <v>2</v>
      </c>
      <c r="H945" s="197">
        <f t="shared" ref="H945:H949" si="237">SUM(G945*200)</f>
        <v>400</v>
      </c>
      <c r="I945" s="206"/>
      <c r="J945" s="282">
        <v>10400</v>
      </c>
      <c r="K945" s="288" t="s">
        <v>92</v>
      </c>
      <c r="L945" s="291">
        <v>10000</v>
      </c>
    </row>
    <row r="946" spans="1:12">
      <c r="A946" s="176" t="s">
        <v>93</v>
      </c>
      <c r="B946" s="199">
        <v>45941</v>
      </c>
      <c r="C946" s="207" t="s">
        <v>94</v>
      </c>
      <c r="D946" s="177" t="s">
        <v>1576</v>
      </c>
      <c r="E946" s="212">
        <v>10000</v>
      </c>
      <c r="F946" s="233"/>
      <c r="G946" s="210">
        <v>2</v>
      </c>
      <c r="H946" s="197">
        <f t="shared" si="237"/>
        <v>400</v>
      </c>
      <c r="I946" s="202"/>
      <c r="J946" s="282">
        <v>10400</v>
      </c>
      <c r="K946" s="310" t="s">
        <v>96</v>
      </c>
      <c r="L946" s="284">
        <v>6000</v>
      </c>
    </row>
    <row r="947" spans="1:12">
      <c r="A947" s="176" t="s">
        <v>97</v>
      </c>
      <c r="B947" s="199">
        <v>45923</v>
      </c>
      <c r="C947" s="204" t="s">
        <v>98</v>
      </c>
      <c r="D947" s="205" t="s">
        <v>1574</v>
      </c>
      <c r="E947" s="234">
        <v>12000</v>
      </c>
      <c r="F947" s="235"/>
      <c r="G947" s="232">
        <v>2</v>
      </c>
      <c r="H947" s="197">
        <f t="shared" si="237"/>
        <v>400</v>
      </c>
      <c r="I947" s="206"/>
      <c r="J947" s="282">
        <v>12400</v>
      </c>
      <c r="K947" s="288" t="s">
        <v>99</v>
      </c>
      <c r="L947" s="291">
        <v>12000</v>
      </c>
    </row>
    <row r="948" spans="1:12">
      <c r="A948" s="176" t="s">
        <v>100</v>
      </c>
      <c r="B948" s="199"/>
      <c r="C948" s="236" t="s">
        <v>162</v>
      </c>
      <c r="D948" s="205"/>
      <c r="E948" s="206"/>
      <c r="F948" s="195"/>
      <c r="G948" s="232"/>
      <c r="H948" s="197"/>
      <c r="I948" s="206"/>
      <c r="J948" s="282"/>
      <c r="K948" s="311"/>
      <c r="L948" s="291"/>
    </row>
    <row r="949" spans="1:12">
      <c r="A949" s="176" t="s">
        <v>104</v>
      </c>
      <c r="B949" s="339">
        <v>45935</v>
      </c>
      <c r="C949" s="237" t="s">
        <v>1575</v>
      </c>
      <c r="D949" s="205" t="s">
        <v>1572</v>
      </c>
      <c r="E949" s="206">
        <v>12000</v>
      </c>
      <c r="F949" s="195"/>
      <c r="G949" s="238">
        <v>3</v>
      </c>
      <c r="H949" s="197">
        <f t="shared" si="237"/>
        <v>600</v>
      </c>
      <c r="I949" s="219"/>
      <c r="J949" s="282">
        <v>12600</v>
      </c>
      <c r="K949" s="311" t="s">
        <v>107</v>
      </c>
      <c r="L949" s="291">
        <v>12000</v>
      </c>
    </row>
    <row r="950" spans="1:12" ht="15.75" thickBot="1">
      <c r="A950" s="239"/>
      <c r="B950" s="240"/>
      <c r="C950" s="241" t="s">
        <v>108</v>
      </c>
      <c r="D950" s="242"/>
      <c r="E950" s="243">
        <f>SUM(E945:E948)</f>
        <v>32000</v>
      </c>
      <c r="F950" s="226"/>
      <c r="G950" s="226">
        <f>SUM(G945:G948)</f>
        <v>6</v>
      </c>
      <c r="H950" s="226">
        <f>SUM(H945:H948)</f>
        <v>1200</v>
      </c>
      <c r="I950" s="243">
        <f>SUM(I945:I948)</f>
        <v>0</v>
      </c>
      <c r="J950" s="226">
        <f>SUM(J945:J948)</f>
        <v>33200</v>
      </c>
      <c r="K950" s="306"/>
      <c r="L950" s="312">
        <f>SUM(L945:L949)</f>
        <v>40000</v>
      </c>
    </row>
    <row r="951" spans="1:12">
      <c r="A951" s="228" t="s">
        <v>109</v>
      </c>
      <c r="B951" s="244"/>
      <c r="C951" s="245"/>
      <c r="D951" s="205"/>
      <c r="E951" s="195"/>
      <c r="F951" s="195"/>
      <c r="G951" s="231"/>
      <c r="H951" s="195"/>
      <c r="I951" s="195"/>
      <c r="J951" s="195"/>
      <c r="K951" s="309"/>
      <c r="L951" s="313"/>
    </row>
    <row r="952" spans="1:12" ht="15.75" thickBot="1">
      <c r="A952" s="246" t="s">
        <v>110</v>
      </c>
      <c r="B952" s="247"/>
      <c r="C952" s="248" t="s">
        <v>111</v>
      </c>
      <c r="D952" s="242"/>
      <c r="E952" s="243"/>
      <c r="F952" s="226"/>
      <c r="G952" s="249"/>
      <c r="H952" s="226"/>
      <c r="I952" s="243"/>
      <c r="J952" s="226"/>
      <c r="K952" s="306"/>
      <c r="L952" s="312"/>
    </row>
    <row r="953" spans="1:12">
      <c r="A953" s="228" t="s">
        <v>112</v>
      </c>
      <c r="B953" s="250"/>
      <c r="C953" s="245"/>
      <c r="D953" s="205"/>
      <c r="E953" s="195"/>
      <c r="F953" s="195"/>
      <c r="G953" s="231"/>
      <c r="H953" s="195"/>
      <c r="I953" s="195"/>
      <c r="J953" s="195"/>
      <c r="K953" s="309"/>
      <c r="L953" s="313"/>
    </row>
    <row r="954" spans="1:12">
      <c r="A954" s="176" t="s">
        <v>113</v>
      </c>
      <c r="B954" s="199">
        <v>45880</v>
      </c>
      <c r="C954" s="251" t="s">
        <v>114</v>
      </c>
      <c r="D954" s="177" t="s">
        <v>1553</v>
      </c>
      <c r="E954" s="206">
        <v>12600</v>
      </c>
      <c r="F954" s="230"/>
      <c r="G954" s="209">
        <v>2</v>
      </c>
      <c r="H954" s="197">
        <f t="shared" ref="H954:H956" si="238">SUM(G954*200)</f>
        <v>400</v>
      </c>
      <c r="I954" s="314"/>
      <c r="J954" s="282">
        <v>12400</v>
      </c>
      <c r="K954" s="295" t="s">
        <v>115</v>
      </c>
      <c r="L954" s="291">
        <v>12000</v>
      </c>
    </row>
    <row r="955" spans="1:12">
      <c r="A955" s="176" t="s">
        <v>116</v>
      </c>
      <c r="B955" s="199">
        <v>45903</v>
      </c>
      <c r="C955" s="252" t="s">
        <v>117</v>
      </c>
      <c r="D955" s="205" t="s">
        <v>1571</v>
      </c>
      <c r="E955" s="206">
        <v>7000</v>
      </c>
      <c r="F955" s="195"/>
      <c r="G955" s="209">
        <v>1</v>
      </c>
      <c r="H955" s="197">
        <f t="shared" si="238"/>
        <v>200</v>
      </c>
      <c r="I955" s="314"/>
      <c r="J955" s="282">
        <v>7200</v>
      </c>
      <c r="K955" s="288" t="s">
        <v>119</v>
      </c>
      <c r="L955" s="291">
        <v>7000</v>
      </c>
    </row>
    <row r="956" spans="1:12">
      <c r="A956" s="176" t="s">
        <v>120</v>
      </c>
      <c r="B956" s="199">
        <v>45914</v>
      </c>
      <c r="C956" s="253" t="s">
        <v>121</v>
      </c>
      <c r="D956" s="177" t="s">
        <v>1540</v>
      </c>
      <c r="E956" s="209">
        <v>10000</v>
      </c>
      <c r="F956" s="254"/>
      <c r="G956" s="209">
        <v>2</v>
      </c>
      <c r="H956" s="197">
        <f t="shared" si="238"/>
        <v>400</v>
      </c>
      <c r="I956" s="315"/>
      <c r="J956" s="254">
        <v>10400</v>
      </c>
      <c r="K956" s="316" t="s">
        <v>122</v>
      </c>
      <c r="L956" s="291">
        <v>10000</v>
      </c>
    </row>
    <row r="957" spans="1:12" ht="15.75" thickBot="1">
      <c r="A957" s="246"/>
      <c r="B957" s="247"/>
      <c r="C957" s="255"/>
      <c r="D957" s="242"/>
      <c r="E957" s="256">
        <f>SUM(E954:E956)</f>
        <v>29600</v>
      </c>
      <c r="F957" s="257"/>
      <c r="G957" s="256">
        <f>SUM(G954:G956)</f>
        <v>5</v>
      </c>
      <c r="H957" s="257">
        <f>SUM(H954:H956)</f>
        <v>1000</v>
      </c>
      <c r="I957" s="257">
        <f>SUM(I954:I956)</f>
        <v>0</v>
      </c>
      <c r="J957" s="257">
        <f>SUM(J954:J956)</f>
        <v>30000</v>
      </c>
      <c r="K957" s="317"/>
      <c r="L957" s="312">
        <f>SUM(L954:L956)</f>
        <v>29000</v>
      </c>
    </row>
    <row r="958" spans="1:12">
      <c r="B958" s="244"/>
      <c r="C958" s="80"/>
      <c r="D958" s="258"/>
      <c r="E958" s="259">
        <f>SUM(E943,E950,E952,E957)</f>
        <v>190850</v>
      </c>
      <c r="F958" s="260"/>
      <c r="G958" s="259">
        <f>SUM(G943,G950,G952,G957)</f>
        <v>39</v>
      </c>
      <c r="H958" s="259">
        <f>SUM(H943,H950,H952,H957)</f>
        <v>7800</v>
      </c>
      <c r="I958" s="318">
        <f>SUM(I943,I950,I952,I957)</f>
        <v>0</v>
      </c>
      <c r="J958" s="259">
        <f>SUM(J943,J950,J952,J957)</f>
        <v>198070</v>
      </c>
      <c r="K958" s="319"/>
      <c r="L958" s="291"/>
    </row>
    <row r="959" spans="1:12">
      <c r="A959" s="228" t="s">
        <v>123</v>
      </c>
      <c r="B959" s="261"/>
      <c r="C959" s="262"/>
      <c r="D959" s="15"/>
      <c r="E959" s="195"/>
      <c r="F959" s="263" t="s">
        <v>124</v>
      </c>
      <c r="G959" s="264"/>
      <c r="H959" s="195"/>
      <c r="I959" s="195"/>
      <c r="J959" s="230"/>
      <c r="K959" s="309"/>
      <c r="L959" s="284"/>
    </row>
    <row r="960" spans="1:12">
      <c r="A960" s="176" t="s">
        <v>125</v>
      </c>
      <c r="B960" s="199">
        <v>45911</v>
      </c>
      <c r="C960" s="265" t="s">
        <v>126</v>
      </c>
      <c r="D960" s="205" t="s">
        <v>1578</v>
      </c>
      <c r="E960" s="202">
        <v>5000</v>
      </c>
      <c r="F960" s="266">
        <v>325</v>
      </c>
      <c r="G960" s="203">
        <v>2</v>
      </c>
      <c r="H960" s="266">
        <f t="shared" ref="H960:H961" si="239">SUM(G960*200)</f>
        <v>400</v>
      </c>
      <c r="I960" s="202"/>
      <c r="J960" s="282">
        <v>5400</v>
      </c>
      <c r="K960" s="319" t="s">
        <v>128</v>
      </c>
      <c r="L960" s="284">
        <v>5000</v>
      </c>
    </row>
    <row r="961" spans="1:12">
      <c r="A961" s="176" t="s">
        <v>129</v>
      </c>
      <c r="B961" s="199">
        <v>45930</v>
      </c>
      <c r="C961" s="265" t="s">
        <v>130</v>
      </c>
      <c r="D961" s="205" t="s">
        <v>1577</v>
      </c>
      <c r="E961" s="206">
        <v>5500</v>
      </c>
      <c r="F961" s="195"/>
      <c r="G961" s="203">
        <v>1</v>
      </c>
      <c r="H961" s="266">
        <f t="shared" si="239"/>
        <v>200</v>
      </c>
      <c r="I961" s="206"/>
      <c r="J961" s="282">
        <f>SUM(E961,H961:I961)</f>
        <v>5700</v>
      </c>
      <c r="K961" s="319" t="s">
        <v>132</v>
      </c>
      <c r="L961" s="291">
        <v>5500</v>
      </c>
    </row>
    <row r="962" spans="1:12" ht="15.75" thickBot="1">
      <c r="A962" s="267" t="s">
        <v>133</v>
      </c>
      <c r="B962" s="268"/>
      <c r="C962" s="269"/>
      <c r="D962" s="242"/>
      <c r="E962" s="270">
        <f>SUM(E960:E961)</f>
        <v>10500</v>
      </c>
      <c r="F962" s="226">
        <f t="shared" ref="F962:I962" si="240">SUM(F960:F961)</f>
        <v>325</v>
      </c>
      <c r="G962" s="243">
        <f t="shared" si="240"/>
        <v>3</v>
      </c>
      <c r="H962" s="226">
        <f t="shared" si="240"/>
        <v>600</v>
      </c>
      <c r="I962" s="320">
        <f t="shared" si="240"/>
        <v>0</v>
      </c>
      <c r="J962" s="321">
        <f>SUM(F962,H962,I962,)</f>
        <v>925</v>
      </c>
      <c r="K962" s="322"/>
      <c r="L962" s="322"/>
    </row>
    <row r="963" spans="1:12">
      <c r="E963" s="271" t="s">
        <v>134</v>
      </c>
      <c r="F963" s="272">
        <f>SUM(F958,F962)</f>
        <v>325</v>
      </c>
      <c r="H963" s="272">
        <f>SUM(H958,H962)</f>
        <v>8400</v>
      </c>
      <c r="I963" s="324">
        <f>SUM(I958,I962)</f>
        <v>0</v>
      </c>
      <c r="J963" s="325" t="s">
        <v>135</v>
      </c>
    </row>
    <row r="964" spans="1:12">
      <c r="D964" s="326">
        <f>SUM(E464,E508,E553,E598,E643,E688,E733,E778,E823,E868,E913,E958)</f>
        <v>236850</v>
      </c>
      <c r="E964" s="326">
        <f>SUM(E449,E493,E538,E589,E628,E673,E718,E763,E808,E853,E898,E943)</f>
        <v>224250</v>
      </c>
    </row>
    <row r="966" spans="1:12" ht="18.75" thickBot="1">
      <c r="A966" s="185" t="s">
        <v>8</v>
      </c>
      <c r="B966" s="348" t="s">
        <v>808</v>
      </c>
      <c r="C966" s="187"/>
    </row>
    <row r="967" spans="1:12">
      <c r="A967" s="190" t="s">
        <v>10</v>
      </c>
      <c r="B967" s="191">
        <v>45969</v>
      </c>
      <c r="C967" s="7" t="s">
        <v>1616</v>
      </c>
      <c r="D967" s="193" t="s">
        <v>1580</v>
      </c>
      <c r="E967" s="194">
        <v>8000</v>
      </c>
      <c r="F967" s="195">
        <f>SUM(E967*0.5)</f>
        <v>4000</v>
      </c>
      <c r="G967" s="196">
        <v>1</v>
      </c>
      <c r="H967" s="197">
        <f t="shared" ref="H967:H969" si="241">SUM(G967*200)</f>
        <v>200</v>
      </c>
      <c r="I967" s="194"/>
      <c r="J967" s="279">
        <v>8200</v>
      </c>
      <c r="K967" s="280" t="s">
        <v>13</v>
      </c>
      <c r="L967" s="281">
        <v>8000</v>
      </c>
    </row>
    <row r="968" spans="1:12">
      <c r="A968" s="198" t="s">
        <v>14</v>
      </c>
      <c r="B968" s="199">
        <v>45959</v>
      </c>
      <c r="C968" s="201" t="s">
        <v>1602</v>
      </c>
      <c r="D968" s="201" t="s">
        <v>1581</v>
      </c>
      <c r="E968" s="202">
        <v>8500</v>
      </c>
      <c r="F968" s="195">
        <f>SUM(E968*0.5)</f>
        <v>4250</v>
      </c>
      <c r="G968" s="203">
        <v>3</v>
      </c>
      <c r="H968" s="197">
        <f t="shared" si="241"/>
        <v>600</v>
      </c>
      <c r="I968" s="206"/>
      <c r="J968" s="282">
        <v>9100</v>
      </c>
      <c r="K968" s="283" t="s">
        <v>314</v>
      </c>
      <c r="L968" s="284">
        <v>8500</v>
      </c>
    </row>
    <row r="969" spans="1:12">
      <c r="A969" s="190" t="s">
        <v>18</v>
      </c>
      <c r="B969" s="199">
        <v>45959</v>
      </c>
      <c r="C969" s="14" t="s">
        <v>1603</v>
      </c>
      <c r="D969" s="205" t="s">
        <v>1582</v>
      </c>
      <c r="E969" s="202">
        <v>8000</v>
      </c>
      <c r="F969" s="195">
        <f t="shared" ref="F969:F970" si="242">SUM(E969*0.5)</f>
        <v>4000</v>
      </c>
      <c r="G969" s="203">
        <v>1</v>
      </c>
      <c r="H969" s="197">
        <f t="shared" si="241"/>
        <v>200</v>
      </c>
      <c r="I969" s="206"/>
      <c r="J969" s="282">
        <f>SUM(E969,H969:I969)</f>
        <v>8200</v>
      </c>
      <c r="K969" s="288" t="s">
        <v>21</v>
      </c>
      <c r="L969" s="284">
        <v>8000</v>
      </c>
    </row>
    <row r="970" spans="1:12" ht="25.5">
      <c r="A970" s="190" t="s">
        <v>22</v>
      </c>
      <c r="B970" s="199">
        <v>45950</v>
      </c>
      <c r="C970" s="26" t="s">
        <v>1600</v>
      </c>
      <c r="D970" s="205" t="s">
        <v>1583</v>
      </c>
      <c r="E970" s="206">
        <v>7250</v>
      </c>
      <c r="F970" s="195">
        <f t="shared" si="242"/>
        <v>3625</v>
      </c>
      <c r="G970" s="203">
        <v>1</v>
      </c>
      <c r="H970" s="197">
        <f t="shared" ref="H970" si="243">SUM(G970*200)</f>
        <v>200</v>
      </c>
      <c r="I970" s="206"/>
      <c r="J970" s="282">
        <v>7450</v>
      </c>
      <c r="K970" s="290" t="s">
        <v>25</v>
      </c>
      <c r="L970" s="291">
        <v>5000</v>
      </c>
    </row>
    <row r="971" spans="1:12">
      <c r="A971" s="190" t="s">
        <v>26</v>
      </c>
      <c r="B971" s="199">
        <v>45961</v>
      </c>
      <c r="C971" s="208" t="s">
        <v>1609</v>
      </c>
      <c r="D971" s="205" t="s">
        <v>1588</v>
      </c>
      <c r="E971" s="206">
        <v>6000</v>
      </c>
      <c r="F971" s="195">
        <f t="shared" ref="F971" si="244">SUM(E971*0.5)</f>
        <v>3000</v>
      </c>
      <c r="G971" s="203">
        <v>1</v>
      </c>
      <c r="H971" s="197">
        <f t="shared" ref="H971" si="245">SUM(G971*200)</f>
        <v>200</v>
      </c>
      <c r="I971" s="206"/>
      <c r="J971" s="282">
        <v>6200</v>
      </c>
      <c r="K971" s="288" t="s">
        <v>1608</v>
      </c>
      <c r="L971" s="291">
        <v>6000</v>
      </c>
    </row>
    <row r="972" spans="1:12">
      <c r="A972" s="190" t="s">
        <v>30</v>
      </c>
      <c r="B972" s="199">
        <v>45962</v>
      </c>
      <c r="C972" s="363" t="s">
        <v>1614</v>
      </c>
      <c r="D972" s="205" t="s">
        <v>1584</v>
      </c>
      <c r="E972" s="209">
        <v>6500</v>
      </c>
      <c r="F972" s="195">
        <v>3250</v>
      </c>
      <c r="G972" s="210">
        <v>3</v>
      </c>
      <c r="H972" s="197">
        <v>600</v>
      </c>
      <c r="I972" s="209"/>
      <c r="J972" s="254">
        <v>7100</v>
      </c>
      <c r="K972" s="294" t="s">
        <v>1344</v>
      </c>
      <c r="L972" s="287">
        <v>6500</v>
      </c>
    </row>
    <row r="973" spans="1:12">
      <c r="A973" s="190" t="s">
        <v>33</v>
      </c>
      <c r="B973" s="199">
        <v>45959</v>
      </c>
      <c r="C973" s="14" t="s">
        <v>1604</v>
      </c>
      <c r="D973" s="205" t="s">
        <v>1585</v>
      </c>
      <c r="E973" s="202">
        <v>6000</v>
      </c>
      <c r="F973" s="195">
        <f t="shared" ref="F973" si="246">SUM(E973*0.5)</f>
        <v>3000</v>
      </c>
      <c r="G973" s="210">
        <v>1</v>
      </c>
      <c r="H973" s="197">
        <f t="shared" ref="H973" si="247">SUM(G973*200)</f>
        <v>200</v>
      </c>
      <c r="I973" s="202"/>
      <c r="J973" s="197">
        <v>6200</v>
      </c>
      <c r="K973" s="288" t="s">
        <v>17</v>
      </c>
      <c r="L973" s="284">
        <v>6000</v>
      </c>
    </row>
    <row r="974" spans="1:12">
      <c r="A974" s="190" t="s">
        <v>35</v>
      </c>
      <c r="B974" s="199"/>
      <c r="C974" s="211" t="s">
        <v>162</v>
      </c>
      <c r="D974" s="177"/>
      <c r="E974" s="212"/>
      <c r="F974" s="195"/>
      <c r="G974" s="210"/>
      <c r="H974" s="197"/>
      <c r="I974" s="206"/>
      <c r="J974" s="282"/>
      <c r="K974" s="295"/>
      <c r="L974" s="284"/>
    </row>
    <row r="975" spans="1:12">
      <c r="A975" s="213" t="s">
        <v>39</v>
      </c>
      <c r="B975" s="199">
        <v>45961</v>
      </c>
      <c r="C975" s="14" t="s">
        <v>1610</v>
      </c>
      <c r="D975" s="205" t="s">
        <v>1586</v>
      </c>
      <c r="E975" s="202">
        <v>8000</v>
      </c>
      <c r="F975" s="195">
        <f t="shared" ref="F975" si="248">SUM(E975*0.5)</f>
        <v>4000</v>
      </c>
      <c r="G975" s="203">
        <v>1</v>
      </c>
      <c r="H975" s="197">
        <f t="shared" ref="H975" si="249">SUM(G975*200)</f>
        <v>200</v>
      </c>
      <c r="I975" s="202"/>
      <c r="J975" s="282">
        <v>8200</v>
      </c>
      <c r="K975" s="288" t="s">
        <v>42</v>
      </c>
      <c r="L975" s="284">
        <v>8000</v>
      </c>
    </row>
    <row r="976" spans="1:12">
      <c r="A976" s="213" t="s">
        <v>43</v>
      </c>
      <c r="B976" s="199">
        <v>45940</v>
      </c>
      <c r="C976" s="204" t="s">
        <v>1598</v>
      </c>
      <c r="D976" s="14" t="s">
        <v>1590</v>
      </c>
      <c r="E976" s="202">
        <v>8500</v>
      </c>
      <c r="F976" s="195">
        <v>4250</v>
      </c>
      <c r="G976" s="203">
        <v>2</v>
      </c>
      <c r="H976" s="197">
        <v>400</v>
      </c>
      <c r="I976" s="206"/>
      <c r="J976" s="282">
        <v>8900</v>
      </c>
      <c r="K976" s="288" t="s">
        <v>1599</v>
      </c>
      <c r="L976" s="284">
        <v>8500</v>
      </c>
    </row>
    <row r="977" spans="1:12">
      <c r="A977" s="213" t="s">
        <v>47</v>
      </c>
      <c r="B977" s="199">
        <v>45960</v>
      </c>
      <c r="C977" s="204" t="s">
        <v>1606</v>
      </c>
      <c r="D977" s="205" t="s">
        <v>1584</v>
      </c>
      <c r="E977" s="202">
        <v>8000</v>
      </c>
      <c r="F977" s="195">
        <f t="shared" ref="F977:F980" si="250">SUM(E977*0.5)</f>
        <v>4000</v>
      </c>
      <c r="G977" s="203">
        <v>1</v>
      </c>
      <c r="H977" s="197">
        <f t="shared" ref="H977:H980" si="251">SUM(G977*200)</f>
        <v>200</v>
      </c>
      <c r="I977" s="202"/>
      <c r="J977" s="282">
        <v>8200</v>
      </c>
      <c r="K977" s="288" t="s">
        <v>50</v>
      </c>
      <c r="L977" s="291">
        <v>8000</v>
      </c>
    </row>
    <row r="978" spans="1:12">
      <c r="A978" s="213" t="s">
        <v>51</v>
      </c>
      <c r="B978" s="199">
        <v>45961</v>
      </c>
      <c r="C978" s="204" t="s">
        <v>1612</v>
      </c>
      <c r="D978" s="205" t="s">
        <v>1585</v>
      </c>
      <c r="E978" s="212">
        <v>8500</v>
      </c>
      <c r="F978" s="195">
        <f t="shared" si="250"/>
        <v>4250</v>
      </c>
      <c r="G978" s="210">
        <v>2</v>
      </c>
      <c r="H978" s="197">
        <f t="shared" si="251"/>
        <v>400</v>
      </c>
      <c r="I978" s="212"/>
      <c r="J978" s="282">
        <v>8920</v>
      </c>
      <c r="K978" s="295" t="s">
        <v>577</v>
      </c>
      <c r="L978" s="284">
        <v>8500</v>
      </c>
    </row>
    <row r="979" spans="1:12">
      <c r="A979" s="213" t="s">
        <v>55</v>
      </c>
      <c r="B979" s="199">
        <v>45961</v>
      </c>
      <c r="C979" s="204" t="s">
        <v>1611</v>
      </c>
      <c r="D979" s="205" t="s">
        <v>1584</v>
      </c>
      <c r="E979" s="202">
        <v>7500</v>
      </c>
      <c r="F979" s="195">
        <f t="shared" si="250"/>
        <v>3750</v>
      </c>
      <c r="G979" s="203">
        <v>2</v>
      </c>
      <c r="H979" s="197">
        <f t="shared" si="251"/>
        <v>400</v>
      </c>
      <c r="I979" s="206"/>
      <c r="J979" s="282">
        <v>7900</v>
      </c>
      <c r="K979" s="288" t="s">
        <v>57</v>
      </c>
      <c r="L979" s="284">
        <v>7500</v>
      </c>
    </row>
    <row r="980" spans="1:12">
      <c r="A980" s="213" t="s">
        <v>58</v>
      </c>
      <c r="B980" s="199">
        <v>45960</v>
      </c>
      <c r="C980" s="204" t="s">
        <v>1605</v>
      </c>
      <c r="D980" s="205" t="s">
        <v>1583</v>
      </c>
      <c r="E980" s="202">
        <v>6500</v>
      </c>
      <c r="F980" s="195">
        <f t="shared" si="250"/>
        <v>3250</v>
      </c>
      <c r="G980" s="203">
        <v>1</v>
      </c>
      <c r="H980" s="197">
        <f t="shared" si="251"/>
        <v>200</v>
      </c>
      <c r="I980" s="206"/>
      <c r="J980" s="254">
        <v>6700</v>
      </c>
      <c r="K980" s="296" t="s">
        <v>378</v>
      </c>
      <c r="L980" s="284">
        <v>6500</v>
      </c>
    </row>
    <row r="981" spans="1:12">
      <c r="A981" s="213" t="s">
        <v>60</v>
      </c>
      <c r="B981" s="199"/>
      <c r="C981" s="204" t="s">
        <v>162</v>
      </c>
      <c r="D981" s="205"/>
      <c r="E981" s="202"/>
      <c r="F981" s="195"/>
      <c r="G981" s="203"/>
      <c r="H981" s="197"/>
      <c r="I981" s="206"/>
      <c r="J981" s="254"/>
      <c r="K981" s="295"/>
      <c r="L981" s="284"/>
    </row>
    <row r="982" spans="1:12">
      <c r="A982" s="214" t="s">
        <v>63</v>
      </c>
      <c r="B982" s="199">
        <v>45973</v>
      </c>
      <c r="C982" s="204" t="s">
        <v>1618</v>
      </c>
      <c r="D982" s="205" t="s">
        <v>1587</v>
      </c>
      <c r="E982" s="206">
        <v>9000</v>
      </c>
      <c r="F982" s="195">
        <f t="shared" ref="F982:F984" si="252">SUM(E982*0.5)</f>
        <v>4500</v>
      </c>
      <c r="G982" s="203">
        <v>2</v>
      </c>
      <c r="H982" s="197">
        <f t="shared" ref="H982:H984" si="253">SUM(G982*200)</f>
        <v>400</v>
      </c>
      <c r="I982" s="206"/>
      <c r="J982" s="282">
        <v>9400</v>
      </c>
      <c r="K982" s="288" t="s">
        <v>584</v>
      </c>
      <c r="L982" s="291">
        <v>9000</v>
      </c>
    </row>
    <row r="983" spans="1:12">
      <c r="A983" s="214" t="s">
        <v>67</v>
      </c>
      <c r="B983" s="199">
        <v>45973</v>
      </c>
      <c r="C983" s="204" t="s">
        <v>1617</v>
      </c>
      <c r="D983" s="205" t="s">
        <v>1582</v>
      </c>
      <c r="E983" s="206">
        <v>8500</v>
      </c>
      <c r="F983" s="195">
        <f t="shared" si="252"/>
        <v>4250</v>
      </c>
      <c r="G983" s="203">
        <v>2</v>
      </c>
      <c r="H983" s="197">
        <f t="shared" si="253"/>
        <v>400</v>
      </c>
      <c r="I983" s="206"/>
      <c r="J983" s="282">
        <v>8900</v>
      </c>
      <c r="K983" s="295" t="s">
        <v>1074</v>
      </c>
      <c r="L983" s="284">
        <v>8500</v>
      </c>
    </row>
    <row r="984" spans="1:12">
      <c r="A984" s="214" t="s">
        <v>71</v>
      </c>
      <c r="B984" s="199">
        <v>45968</v>
      </c>
      <c r="C984" s="204" t="s">
        <v>1615</v>
      </c>
      <c r="D984" s="205" t="s">
        <v>1588</v>
      </c>
      <c r="E984" s="206">
        <v>8500</v>
      </c>
      <c r="F984" s="195">
        <f t="shared" si="252"/>
        <v>4250</v>
      </c>
      <c r="G984" s="203">
        <v>2</v>
      </c>
      <c r="H984" s="197">
        <f t="shared" si="253"/>
        <v>400</v>
      </c>
      <c r="I984" s="206"/>
      <c r="J984" s="282">
        <v>8900</v>
      </c>
      <c r="K984" s="288" t="s">
        <v>383</v>
      </c>
      <c r="L984" s="291">
        <v>8500</v>
      </c>
    </row>
    <row r="985" spans="1:12">
      <c r="A985" s="214" t="s">
        <v>74</v>
      </c>
      <c r="B985" s="199">
        <v>45961</v>
      </c>
      <c r="C985" s="204" t="s">
        <v>1607</v>
      </c>
      <c r="D985" s="205" t="s">
        <v>1588</v>
      </c>
      <c r="E985" s="206">
        <v>8500</v>
      </c>
      <c r="F985" s="195">
        <f t="shared" ref="F985" si="254">SUM(E985*0.5)</f>
        <v>4250</v>
      </c>
      <c r="G985" s="203">
        <v>2</v>
      </c>
      <c r="H985" s="197">
        <f t="shared" ref="H985" si="255">SUM(G985*200)</f>
        <v>400</v>
      </c>
      <c r="I985" s="206"/>
      <c r="J985" s="282">
        <v>8900</v>
      </c>
      <c r="K985" s="288" t="s">
        <v>1608</v>
      </c>
      <c r="L985" s="291">
        <v>8500</v>
      </c>
    </row>
    <row r="986" spans="1:12">
      <c r="A986" s="214" t="s">
        <v>77</v>
      </c>
      <c r="B986" s="199">
        <v>45938</v>
      </c>
      <c r="C986" s="208" t="s">
        <v>1597</v>
      </c>
      <c r="D986" s="205" t="s">
        <v>1586</v>
      </c>
      <c r="E986" s="206">
        <v>8000</v>
      </c>
      <c r="F986" s="195">
        <f t="shared" ref="F986:F988" si="256">SUM(E986*0.5)</f>
        <v>4000</v>
      </c>
      <c r="G986" s="203">
        <v>2</v>
      </c>
      <c r="H986" s="197">
        <f t="shared" ref="H986:H987" si="257">SUM(G986*200)</f>
        <v>400</v>
      </c>
      <c r="I986" s="206"/>
      <c r="J986" s="282">
        <v>8400</v>
      </c>
      <c r="K986" s="288" t="s">
        <v>340</v>
      </c>
      <c r="L986" s="291">
        <v>8000</v>
      </c>
    </row>
    <row r="987" spans="1:12">
      <c r="A987" s="214" t="s">
        <v>81</v>
      </c>
      <c r="B987" s="199">
        <v>45962</v>
      </c>
      <c r="C987" s="208" t="s">
        <v>1613</v>
      </c>
      <c r="D987" s="177" t="s">
        <v>1589</v>
      </c>
      <c r="E987" s="209">
        <v>6000</v>
      </c>
      <c r="F987" s="195">
        <f t="shared" si="256"/>
        <v>3000</v>
      </c>
      <c r="G987" s="210">
        <v>1</v>
      </c>
      <c r="H987" s="197">
        <f t="shared" si="257"/>
        <v>200</v>
      </c>
      <c r="I987" s="206"/>
      <c r="J987" s="282">
        <v>6200</v>
      </c>
      <c r="K987" s="295" t="s">
        <v>83</v>
      </c>
      <c r="L987" s="291">
        <v>6000</v>
      </c>
    </row>
    <row r="988" spans="1:12">
      <c r="A988" s="215" t="s">
        <v>84</v>
      </c>
      <c r="B988" s="216">
        <v>45955</v>
      </c>
      <c r="C988" s="208" t="s">
        <v>1601</v>
      </c>
      <c r="D988" s="208" t="s">
        <v>1582</v>
      </c>
      <c r="E988" s="209">
        <v>6500</v>
      </c>
      <c r="F988" s="195">
        <f t="shared" si="256"/>
        <v>3250</v>
      </c>
      <c r="G988" s="210">
        <v>2</v>
      </c>
      <c r="H988" s="197">
        <v>400</v>
      </c>
      <c r="I988" s="209"/>
      <c r="J988" s="254">
        <v>6900</v>
      </c>
      <c r="K988" s="24" t="s">
        <v>1300</v>
      </c>
      <c r="L988" s="287">
        <v>6000</v>
      </c>
    </row>
    <row r="989" spans="1:12" ht="15.75" thickBot="1">
      <c r="A989" s="221"/>
      <c r="B989" s="222"/>
      <c r="C989" s="223"/>
      <c r="D989" s="224"/>
      <c r="E989" s="225">
        <f>SUM(E967:E988)</f>
        <v>152250</v>
      </c>
      <c r="F989" s="226">
        <f>SUM(F967:F988)</f>
        <v>76125</v>
      </c>
      <c r="G989" s="225">
        <f t="shared" ref="G989:J989" si="258">SUM(G967:G988)</f>
        <v>33</v>
      </c>
      <c r="H989" s="227">
        <f t="shared" si="258"/>
        <v>6600</v>
      </c>
      <c r="I989" s="225">
        <f t="shared" si="258"/>
        <v>0</v>
      </c>
      <c r="J989" s="227">
        <f t="shared" si="258"/>
        <v>158870</v>
      </c>
      <c r="K989" s="306"/>
      <c r="L989" s="307">
        <f>SUM(L967:L988)</f>
        <v>149500</v>
      </c>
    </row>
    <row r="990" spans="1:12">
      <c r="A990" s="228" t="s">
        <v>88</v>
      </c>
      <c r="B990" s="229"/>
      <c r="C990" s="230"/>
      <c r="D990" s="205"/>
      <c r="E990" s="195"/>
      <c r="F990" s="195"/>
      <c r="G990" s="231"/>
      <c r="H990" s="195"/>
      <c r="I990" s="195"/>
      <c r="J990" s="230"/>
      <c r="K990" s="309"/>
      <c r="L990" s="291"/>
    </row>
    <row r="991" spans="1:12">
      <c r="A991" s="176" t="s">
        <v>89</v>
      </c>
      <c r="B991" s="199">
        <v>45941</v>
      </c>
      <c r="C991" s="204" t="s">
        <v>90</v>
      </c>
      <c r="D991" s="205" t="s">
        <v>1590</v>
      </c>
      <c r="E991" s="206">
        <v>10000</v>
      </c>
      <c r="F991" s="195"/>
      <c r="G991" s="232">
        <v>2</v>
      </c>
      <c r="H991" s="197">
        <f t="shared" ref="H991:H993" si="259">SUM(G991*200)</f>
        <v>400</v>
      </c>
      <c r="I991" s="206"/>
      <c r="J991" s="282">
        <v>10400</v>
      </c>
      <c r="K991" s="288" t="s">
        <v>92</v>
      </c>
      <c r="L991" s="291">
        <v>10000</v>
      </c>
    </row>
    <row r="992" spans="1:12">
      <c r="A992" s="176" t="s">
        <v>93</v>
      </c>
      <c r="B992" s="199">
        <v>45972</v>
      </c>
      <c r="C992" s="207" t="s">
        <v>94</v>
      </c>
      <c r="D992" s="177" t="s">
        <v>1591</v>
      </c>
      <c r="E992" s="212">
        <v>10000</v>
      </c>
      <c r="F992" s="233"/>
      <c r="G992" s="210">
        <v>2</v>
      </c>
      <c r="H992" s="197">
        <f t="shared" si="259"/>
        <v>400</v>
      </c>
      <c r="I992" s="202"/>
      <c r="J992" s="282">
        <v>10400</v>
      </c>
      <c r="K992" s="310" t="s">
        <v>96</v>
      </c>
      <c r="L992" s="284">
        <v>6000</v>
      </c>
    </row>
    <row r="993" spans="1:12">
      <c r="A993" s="176" t="s">
        <v>97</v>
      </c>
      <c r="B993" s="199">
        <v>45943</v>
      </c>
      <c r="C993" s="204" t="s">
        <v>98</v>
      </c>
      <c r="D993" s="205" t="s">
        <v>1592</v>
      </c>
      <c r="E993" s="234">
        <v>12000</v>
      </c>
      <c r="F993" s="235"/>
      <c r="G993" s="232">
        <v>2</v>
      </c>
      <c r="H993" s="197">
        <f t="shared" si="259"/>
        <v>400</v>
      </c>
      <c r="I993" s="206"/>
      <c r="J993" s="282">
        <v>12400</v>
      </c>
      <c r="K993" s="288" t="s">
        <v>99</v>
      </c>
      <c r="L993" s="291">
        <v>12000</v>
      </c>
    </row>
    <row r="994" spans="1:12">
      <c r="A994" s="176" t="s">
        <v>100</v>
      </c>
      <c r="B994" s="199">
        <v>45945</v>
      </c>
      <c r="C994" s="236" t="s">
        <v>1619</v>
      </c>
      <c r="D994" s="205" t="s">
        <v>1585</v>
      </c>
      <c r="E994" s="212">
        <v>12000</v>
      </c>
      <c r="F994" s="195"/>
      <c r="G994" s="210">
        <v>4</v>
      </c>
      <c r="H994" s="197">
        <f t="shared" ref="H994" si="260">SUM(G994*200)</f>
        <v>800</v>
      </c>
      <c r="I994" s="212"/>
      <c r="J994" s="282">
        <v>12800</v>
      </c>
      <c r="K994" s="295" t="s">
        <v>1620</v>
      </c>
      <c r="L994" s="284">
        <v>12000</v>
      </c>
    </row>
    <row r="995" spans="1:12">
      <c r="A995" s="176" t="s">
        <v>104</v>
      </c>
      <c r="B995" s="339">
        <v>45969</v>
      </c>
      <c r="C995" s="237" t="s">
        <v>1575</v>
      </c>
      <c r="D995" s="205" t="s">
        <v>1593</v>
      </c>
      <c r="E995" s="206">
        <v>12000</v>
      </c>
      <c r="F995" s="195"/>
      <c r="G995" s="238">
        <v>3</v>
      </c>
      <c r="H995" s="197">
        <f t="shared" ref="H995" si="261">SUM(G995*200)</f>
        <v>600</v>
      </c>
      <c r="I995" s="219"/>
      <c r="J995" s="282">
        <v>12600</v>
      </c>
      <c r="K995" s="311" t="s">
        <v>107</v>
      </c>
      <c r="L995" s="291">
        <v>12000</v>
      </c>
    </row>
    <row r="996" spans="1:12" ht="15.75" thickBot="1">
      <c r="A996" s="239"/>
      <c r="B996" s="240"/>
      <c r="C996" s="241" t="s">
        <v>108</v>
      </c>
      <c r="D996" s="242"/>
      <c r="E996" s="243">
        <f>SUM(E991:E994)</f>
        <v>44000</v>
      </c>
      <c r="F996" s="226"/>
      <c r="G996" s="226">
        <f>SUM(G991:G994)</f>
        <v>10</v>
      </c>
      <c r="H996" s="226">
        <f>SUM(H991:H994)</f>
        <v>2000</v>
      </c>
      <c r="I996" s="243">
        <f>SUM(I991:I994)</f>
        <v>0</v>
      </c>
      <c r="J996" s="226">
        <f>SUM(J991:J994)</f>
        <v>46000</v>
      </c>
      <c r="K996" s="306"/>
      <c r="L996" s="312">
        <f>SUM(L991:L995)</f>
        <v>52000</v>
      </c>
    </row>
    <row r="997" spans="1:12">
      <c r="A997" s="228" t="s">
        <v>109</v>
      </c>
      <c r="B997" s="244"/>
      <c r="C997" s="245"/>
      <c r="D997" s="205"/>
      <c r="E997" s="195"/>
      <c r="F997" s="195"/>
      <c r="G997" s="231"/>
      <c r="H997" s="195"/>
      <c r="I997" s="195"/>
      <c r="J997" s="195"/>
      <c r="K997" s="309"/>
      <c r="L997" s="313"/>
    </row>
    <row r="998" spans="1:12" ht="15.75" thickBot="1">
      <c r="A998" s="246" t="s">
        <v>110</v>
      </c>
      <c r="B998" s="247"/>
      <c r="C998" s="248" t="s">
        <v>111</v>
      </c>
      <c r="D998" s="242"/>
      <c r="E998" s="243"/>
      <c r="F998" s="226"/>
      <c r="G998" s="249"/>
      <c r="H998" s="226"/>
      <c r="I998" s="243"/>
      <c r="J998" s="226"/>
      <c r="K998" s="306"/>
      <c r="L998" s="312"/>
    </row>
    <row r="999" spans="1:12">
      <c r="A999" s="228" t="s">
        <v>112</v>
      </c>
      <c r="B999" s="250"/>
      <c r="C999" s="245"/>
      <c r="D999" s="205"/>
      <c r="E999" s="195"/>
      <c r="F999" s="195"/>
      <c r="G999" s="231"/>
      <c r="H999" s="195"/>
      <c r="I999" s="195"/>
      <c r="J999" s="195"/>
      <c r="K999" s="309"/>
      <c r="L999" s="313"/>
    </row>
    <row r="1000" spans="1:12">
      <c r="A1000" s="176" t="s">
        <v>113</v>
      </c>
      <c r="B1000" s="199">
        <v>45880</v>
      </c>
      <c r="C1000" s="251" t="s">
        <v>114</v>
      </c>
      <c r="D1000" s="177" t="s">
        <v>1586</v>
      </c>
      <c r="E1000" s="206">
        <v>12600</v>
      </c>
      <c r="F1000" s="230"/>
      <c r="G1000" s="209">
        <v>2</v>
      </c>
      <c r="H1000" s="197">
        <f t="shared" ref="H1000:H1002" si="262">SUM(G1000*200)</f>
        <v>400</v>
      </c>
      <c r="I1000" s="314"/>
      <c r="J1000" s="282">
        <v>12400</v>
      </c>
      <c r="K1000" s="295" t="s">
        <v>115</v>
      </c>
      <c r="L1000" s="291">
        <v>12000</v>
      </c>
    </row>
    <row r="1001" spans="1:12">
      <c r="A1001" s="176" t="s">
        <v>116</v>
      </c>
      <c r="B1001" s="199">
        <v>45931</v>
      </c>
      <c r="C1001" s="252" t="s">
        <v>117</v>
      </c>
      <c r="D1001" s="205" t="s">
        <v>1594</v>
      </c>
      <c r="E1001" s="206">
        <v>7000</v>
      </c>
      <c r="F1001" s="195"/>
      <c r="G1001" s="209">
        <v>1</v>
      </c>
      <c r="H1001" s="197">
        <f t="shared" si="262"/>
        <v>200</v>
      </c>
      <c r="I1001" s="314"/>
      <c r="J1001" s="282">
        <v>7200</v>
      </c>
      <c r="K1001" s="288" t="s">
        <v>119</v>
      </c>
      <c r="L1001" s="291">
        <v>7000</v>
      </c>
    </row>
    <row r="1002" spans="1:12">
      <c r="A1002" s="176" t="s">
        <v>120</v>
      </c>
      <c r="B1002" s="199">
        <v>45944</v>
      </c>
      <c r="C1002" s="253" t="s">
        <v>121</v>
      </c>
      <c r="D1002" s="177" t="s">
        <v>1585</v>
      </c>
      <c r="E1002" s="209">
        <v>10000</v>
      </c>
      <c r="F1002" s="254"/>
      <c r="G1002" s="209">
        <v>2</v>
      </c>
      <c r="H1002" s="197">
        <f t="shared" si="262"/>
        <v>400</v>
      </c>
      <c r="I1002" s="315"/>
      <c r="J1002" s="254">
        <v>10400</v>
      </c>
      <c r="K1002" s="316" t="s">
        <v>122</v>
      </c>
      <c r="L1002" s="291">
        <v>10000</v>
      </c>
    </row>
    <row r="1003" spans="1:12" ht="15.75" thickBot="1">
      <c r="A1003" s="246"/>
      <c r="B1003" s="247"/>
      <c r="C1003" s="255"/>
      <c r="D1003" s="242"/>
      <c r="E1003" s="256">
        <f>SUM(E1000:E1002)</f>
        <v>29600</v>
      </c>
      <c r="F1003" s="257"/>
      <c r="G1003" s="256">
        <f>SUM(G1000:G1002)</f>
        <v>5</v>
      </c>
      <c r="H1003" s="257">
        <f>SUM(H1000:H1002)</f>
        <v>1000</v>
      </c>
      <c r="I1003" s="257">
        <f>SUM(I1000:I1002)</f>
        <v>0</v>
      </c>
      <c r="J1003" s="257">
        <f>SUM(J1000:J1002)</f>
        <v>30000</v>
      </c>
      <c r="K1003" s="317"/>
      <c r="L1003" s="312">
        <f>SUM(L1000:L1002)</f>
        <v>29000</v>
      </c>
    </row>
    <row r="1004" spans="1:12">
      <c r="B1004" s="244"/>
      <c r="C1004" s="80"/>
      <c r="D1004" s="258"/>
      <c r="E1004" s="259">
        <f>SUM(E989,E996,E998,E1003)</f>
        <v>225850</v>
      </c>
      <c r="F1004" s="260"/>
      <c r="G1004" s="259">
        <f>SUM(G989,G996,G998,G1003)</f>
        <v>48</v>
      </c>
      <c r="H1004" s="259">
        <f>SUM(H989,H996,H998,H1003)</f>
        <v>9600</v>
      </c>
      <c r="I1004" s="318">
        <f>SUM(I989,I996,I998,I1003)</f>
        <v>0</v>
      </c>
      <c r="J1004" s="259">
        <f>SUM(J989,J996,J998,J1003)</f>
        <v>234870</v>
      </c>
      <c r="K1004" s="319"/>
      <c r="L1004" s="291"/>
    </row>
    <row r="1005" spans="1:12">
      <c r="A1005" s="228" t="s">
        <v>123</v>
      </c>
      <c r="B1005" s="261"/>
      <c r="C1005" s="262"/>
      <c r="D1005" s="15"/>
      <c r="E1005" s="195"/>
      <c r="F1005" s="263" t="s">
        <v>124</v>
      </c>
      <c r="G1005" s="264"/>
      <c r="H1005" s="195"/>
      <c r="I1005" s="195"/>
      <c r="J1005" s="230"/>
      <c r="K1005" s="309"/>
      <c r="L1005" s="284"/>
    </row>
    <row r="1006" spans="1:12">
      <c r="A1006" s="176" t="s">
        <v>125</v>
      </c>
      <c r="B1006" s="199">
        <v>45947</v>
      </c>
      <c r="C1006" s="265" t="s">
        <v>126</v>
      </c>
      <c r="D1006" s="205" t="s">
        <v>1595</v>
      </c>
      <c r="E1006" s="202">
        <v>5000</v>
      </c>
      <c r="F1006" s="266">
        <v>325</v>
      </c>
      <c r="G1006" s="203">
        <v>2</v>
      </c>
      <c r="H1006" s="266">
        <f t="shared" ref="H1006:H1007" si="263">SUM(G1006*200)</f>
        <v>400</v>
      </c>
      <c r="I1006" s="202"/>
      <c r="J1006" s="282">
        <v>5400</v>
      </c>
      <c r="K1006" s="319" t="s">
        <v>128</v>
      </c>
      <c r="L1006" s="284">
        <v>5000</v>
      </c>
    </row>
    <row r="1007" spans="1:12">
      <c r="A1007" s="176" t="s">
        <v>129</v>
      </c>
      <c r="B1007" s="199">
        <v>45960</v>
      </c>
      <c r="C1007" s="265" t="s">
        <v>130</v>
      </c>
      <c r="D1007" s="205" t="s">
        <v>1596</v>
      </c>
      <c r="E1007" s="206">
        <v>5500</v>
      </c>
      <c r="F1007" s="195"/>
      <c r="G1007" s="203">
        <v>1</v>
      </c>
      <c r="H1007" s="266">
        <f t="shared" si="263"/>
        <v>200</v>
      </c>
      <c r="I1007" s="206"/>
      <c r="J1007" s="282">
        <f>SUM(E1007,H1007:I1007)</f>
        <v>5700</v>
      </c>
      <c r="K1007" s="319" t="s">
        <v>132</v>
      </c>
      <c r="L1007" s="291">
        <v>5500</v>
      </c>
    </row>
    <row r="1008" spans="1:12" ht="15.75" thickBot="1">
      <c r="A1008" s="267" t="s">
        <v>133</v>
      </c>
      <c r="B1008" s="268"/>
      <c r="C1008" s="269"/>
      <c r="D1008" s="242"/>
      <c r="E1008" s="270">
        <f>SUM(E1006:E1007)</f>
        <v>10500</v>
      </c>
      <c r="F1008" s="226">
        <f t="shared" ref="F1008:I1008" si="264">SUM(F1006:F1007)</f>
        <v>325</v>
      </c>
      <c r="G1008" s="243">
        <f t="shared" si="264"/>
        <v>3</v>
      </c>
      <c r="H1008" s="226">
        <f t="shared" si="264"/>
        <v>600</v>
      </c>
      <c r="I1008" s="320">
        <f t="shared" si="264"/>
        <v>0</v>
      </c>
      <c r="J1008" s="321">
        <f>SUM(F1008,H1008,I1008,)</f>
        <v>925</v>
      </c>
      <c r="K1008" s="322"/>
      <c r="L1008" s="322"/>
    </row>
    <row r="1009" spans="1:12">
      <c r="E1009" s="271" t="s">
        <v>134</v>
      </c>
      <c r="F1009" s="272">
        <f>SUM(F1004,F1008)</f>
        <v>325</v>
      </c>
      <c r="H1009" s="272">
        <f>SUM(H1004,H1008)</f>
        <v>10200</v>
      </c>
      <c r="I1009" s="324">
        <f>SUM(I1004,I1008)</f>
        <v>0</v>
      </c>
      <c r="J1009" s="325" t="s">
        <v>135</v>
      </c>
    </row>
    <row r="1010" spans="1:12">
      <c r="D1010" s="326">
        <f>SUM(E510,E554,E599,E644,E689,E734,E779,E824,E869,E914,E959,E1004)</f>
        <v>891250</v>
      </c>
      <c r="E1010" s="326">
        <f>SUM(E495,E539,E584,E635,E674,E719,E764,E809,E854,E899,E944,E989)</f>
        <v>429100</v>
      </c>
    </row>
    <row r="1012" spans="1:12" ht="18.75" thickBot="1">
      <c r="A1012" s="185" t="s">
        <v>8</v>
      </c>
      <c r="B1012" s="348" t="s">
        <v>854</v>
      </c>
      <c r="C1012" s="187"/>
    </row>
    <row r="1013" spans="1:12">
      <c r="A1013" s="190" t="s">
        <v>10</v>
      </c>
      <c r="B1013" s="191">
        <v>45995</v>
      </c>
      <c r="C1013" s="7" t="s">
        <v>1735</v>
      </c>
      <c r="D1013" s="193" t="s">
        <v>1736</v>
      </c>
      <c r="E1013" s="194">
        <v>8000</v>
      </c>
      <c r="F1013" s="195">
        <f>SUM(E1013*0.5)</f>
        <v>4000</v>
      </c>
      <c r="G1013" s="196">
        <v>1</v>
      </c>
      <c r="H1013" s="197">
        <f t="shared" ref="H1013:H1015" si="265">SUM(G1013*200)</f>
        <v>200</v>
      </c>
      <c r="I1013" s="194"/>
      <c r="J1013" s="279">
        <v>8200</v>
      </c>
      <c r="K1013" s="280" t="s">
        <v>13</v>
      </c>
      <c r="L1013" s="281">
        <v>8000</v>
      </c>
    </row>
    <row r="1014" spans="1:12">
      <c r="A1014" s="198" t="s">
        <v>14</v>
      </c>
      <c r="B1014" s="199">
        <v>45991</v>
      </c>
      <c r="C1014" s="201" t="s">
        <v>1727</v>
      </c>
      <c r="D1014" s="201" t="s">
        <v>1728</v>
      </c>
      <c r="E1014" s="202">
        <v>8500</v>
      </c>
      <c r="F1014" s="195">
        <f>SUM(E1014*0.5)</f>
        <v>4250</v>
      </c>
      <c r="G1014" s="203">
        <v>3</v>
      </c>
      <c r="H1014" s="197">
        <f t="shared" si="265"/>
        <v>600</v>
      </c>
      <c r="I1014" s="206"/>
      <c r="J1014" s="282">
        <v>9100</v>
      </c>
      <c r="K1014" s="283" t="s">
        <v>314</v>
      </c>
      <c r="L1014" s="284">
        <v>8500</v>
      </c>
    </row>
    <row r="1015" spans="1:12">
      <c r="A1015" s="190" t="s">
        <v>18</v>
      </c>
      <c r="B1015" s="199">
        <v>45990</v>
      </c>
      <c r="C1015" s="14" t="s">
        <v>1719</v>
      </c>
      <c r="D1015" s="205" t="s">
        <v>1703</v>
      </c>
      <c r="E1015" s="202">
        <v>8000</v>
      </c>
      <c r="F1015" s="195">
        <f t="shared" ref="F1015:F1016" si="266">SUM(E1015*0.5)</f>
        <v>4000</v>
      </c>
      <c r="G1015" s="203">
        <v>1</v>
      </c>
      <c r="H1015" s="197">
        <f t="shared" si="265"/>
        <v>200</v>
      </c>
      <c r="I1015" s="206"/>
      <c r="J1015" s="282">
        <f>SUM(E1015,H1015:I1015)</f>
        <v>8200</v>
      </c>
      <c r="K1015" s="288" t="s">
        <v>21</v>
      </c>
      <c r="L1015" s="284">
        <v>8000</v>
      </c>
    </row>
    <row r="1016" spans="1:12" ht="25.5">
      <c r="A1016" s="190" t="s">
        <v>22</v>
      </c>
      <c r="B1016" s="199">
        <v>45978</v>
      </c>
      <c r="C1016" s="26" t="s">
        <v>1711</v>
      </c>
      <c r="D1016" s="205" t="s">
        <v>1707</v>
      </c>
      <c r="E1016" s="206">
        <v>7250</v>
      </c>
      <c r="F1016" s="195">
        <f t="shared" si="266"/>
        <v>3625</v>
      </c>
      <c r="G1016" s="203">
        <v>1</v>
      </c>
      <c r="H1016" s="197">
        <f t="shared" ref="H1016" si="267">SUM(G1016*200)</f>
        <v>200</v>
      </c>
      <c r="I1016" s="206"/>
      <c r="J1016" s="282">
        <v>7450</v>
      </c>
      <c r="K1016" s="290" t="s">
        <v>25</v>
      </c>
      <c r="L1016" s="291">
        <v>5000</v>
      </c>
    </row>
    <row r="1017" spans="1:12">
      <c r="A1017" s="190" t="s">
        <v>26</v>
      </c>
      <c r="B1017" s="199">
        <v>45988</v>
      </c>
      <c r="C1017" s="208" t="s">
        <v>1720</v>
      </c>
      <c r="D1017" s="205" t="s">
        <v>1713</v>
      </c>
      <c r="E1017" s="206">
        <v>6000</v>
      </c>
      <c r="F1017" s="195">
        <f t="shared" ref="F1017" si="268">SUM(E1017*0.5)</f>
        <v>3000</v>
      </c>
      <c r="G1017" s="203">
        <v>1</v>
      </c>
      <c r="H1017" s="197">
        <f t="shared" ref="H1017" si="269">SUM(G1017*200)</f>
        <v>200</v>
      </c>
      <c r="I1017" s="206"/>
      <c r="J1017" s="282">
        <v>6200</v>
      </c>
      <c r="K1017" s="288" t="s">
        <v>1608</v>
      </c>
      <c r="L1017" s="291">
        <v>6000</v>
      </c>
    </row>
    <row r="1018" spans="1:12">
      <c r="A1018" s="190" t="s">
        <v>30</v>
      </c>
      <c r="B1018" s="199">
        <v>45991</v>
      </c>
      <c r="C1018" s="363" t="s">
        <v>1726</v>
      </c>
      <c r="D1018" s="205" t="s">
        <v>1723</v>
      </c>
      <c r="E1018" s="209">
        <v>6500</v>
      </c>
      <c r="F1018" s="195">
        <v>3250</v>
      </c>
      <c r="G1018" s="210">
        <v>3</v>
      </c>
      <c r="H1018" s="197">
        <v>600</v>
      </c>
      <c r="I1018" s="209"/>
      <c r="J1018" s="254">
        <v>7100</v>
      </c>
      <c r="K1018" s="294" t="s">
        <v>1344</v>
      </c>
      <c r="L1018" s="287">
        <v>6500</v>
      </c>
    </row>
    <row r="1019" spans="1:12">
      <c r="A1019" s="190" t="s">
        <v>33</v>
      </c>
      <c r="B1019" s="199">
        <v>45988</v>
      </c>
      <c r="C1019" s="14" t="s">
        <v>1714</v>
      </c>
      <c r="D1019" s="205" t="s">
        <v>1698</v>
      </c>
      <c r="E1019" s="202">
        <v>6000</v>
      </c>
      <c r="F1019" s="195">
        <f t="shared" ref="F1019" si="270">SUM(E1019*0.5)</f>
        <v>3000</v>
      </c>
      <c r="G1019" s="210">
        <v>1</v>
      </c>
      <c r="H1019" s="197">
        <f t="shared" ref="H1019" si="271">SUM(G1019*200)</f>
        <v>200</v>
      </c>
      <c r="I1019" s="202"/>
      <c r="J1019" s="197">
        <v>6200</v>
      </c>
      <c r="K1019" s="288" t="s">
        <v>17</v>
      </c>
      <c r="L1019" s="284">
        <v>6000</v>
      </c>
    </row>
    <row r="1020" spans="1:12">
      <c r="A1020" s="190" t="s">
        <v>35</v>
      </c>
      <c r="B1020" s="199">
        <v>45990</v>
      </c>
      <c r="C1020" s="211" t="s">
        <v>1715</v>
      </c>
      <c r="D1020" s="177" t="s">
        <v>1716</v>
      </c>
      <c r="E1020" s="212">
        <v>6500</v>
      </c>
      <c r="F1020" s="195">
        <v>3250</v>
      </c>
      <c r="G1020" s="210">
        <v>1</v>
      </c>
      <c r="H1020" s="197">
        <v>200</v>
      </c>
      <c r="I1020" s="206"/>
      <c r="J1020" s="282">
        <v>6700</v>
      </c>
      <c r="K1020" s="295" t="s">
        <v>1717</v>
      </c>
      <c r="L1020" s="284">
        <v>6500</v>
      </c>
    </row>
    <row r="1021" spans="1:12">
      <c r="A1021" s="213" t="s">
        <v>39</v>
      </c>
      <c r="B1021" s="199">
        <v>45990</v>
      </c>
      <c r="C1021" s="14" t="s">
        <v>1721</v>
      </c>
      <c r="D1021" s="205" t="s">
        <v>1700</v>
      </c>
      <c r="E1021" s="202">
        <v>8000</v>
      </c>
      <c r="F1021" s="195">
        <f t="shared" ref="F1021" si="272">SUM(E1021*0.5)</f>
        <v>4000</v>
      </c>
      <c r="G1021" s="203">
        <v>1</v>
      </c>
      <c r="H1021" s="197">
        <f t="shared" ref="H1021" si="273">SUM(G1021*200)</f>
        <v>200</v>
      </c>
      <c r="I1021" s="202"/>
      <c r="J1021" s="282">
        <v>8200</v>
      </c>
      <c r="K1021" s="288" t="s">
        <v>42</v>
      </c>
      <c r="L1021" s="284">
        <v>8000</v>
      </c>
    </row>
    <row r="1022" spans="1:12">
      <c r="A1022" s="213" t="s">
        <v>43</v>
      </c>
      <c r="B1022" s="199">
        <v>45972</v>
      </c>
      <c r="C1022" s="204" t="s">
        <v>1709</v>
      </c>
      <c r="D1022" s="14" t="s">
        <v>1710</v>
      </c>
      <c r="E1022" s="202">
        <v>8500</v>
      </c>
      <c r="F1022" s="195">
        <v>4250</v>
      </c>
      <c r="G1022" s="203">
        <v>2</v>
      </c>
      <c r="H1022" s="197">
        <v>400</v>
      </c>
      <c r="I1022" s="206"/>
      <c r="J1022" s="282">
        <v>8900</v>
      </c>
      <c r="K1022" s="288" t="s">
        <v>1599</v>
      </c>
      <c r="L1022" s="284">
        <v>8500</v>
      </c>
    </row>
    <row r="1023" spans="1:12">
      <c r="A1023" s="213" t="s">
        <v>47</v>
      </c>
      <c r="B1023" s="199">
        <v>45991</v>
      </c>
      <c r="C1023" s="204" t="s">
        <v>1722</v>
      </c>
      <c r="D1023" s="205" t="s">
        <v>1723</v>
      </c>
      <c r="E1023" s="202">
        <v>8000</v>
      </c>
      <c r="F1023" s="195">
        <f t="shared" ref="F1023:F1027" si="274">SUM(E1023*0.5)</f>
        <v>4000</v>
      </c>
      <c r="G1023" s="203">
        <v>1</v>
      </c>
      <c r="H1023" s="197">
        <f t="shared" ref="H1023:H1027" si="275">SUM(G1023*200)</f>
        <v>200</v>
      </c>
      <c r="I1023" s="202"/>
      <c r="J1023" s="282">
        <v>8200</v>
      </c>
      <c r="K1023" s="288" t="s">
        <v>50</v>
      </c>
      <c r="L1023" s="291">
        <v>8000</v>
      </c>
    </row>
    <row r="1024" spans="1:12">
      <c r="A1024" s="213" t="s">
        <v>51</v>
      </c>
      <c r="B1024" s="199">
        <v>45990</v>
      </c>
      <c r="C1024" s="204" t="s">
        <v>1718</v>
      </c>
      <c r="D1024" s="205" t="s">
        <v>1698</v>
      </c>
      <c r="E1024" s="212">
        <v>8500</v>
      </c>
      <c r="F1024" s="195">
        <f t="shared" si="274"/>
        <v>4250</v>
      </c>
      <c r="G1024" s="210">
        <v>2</v>
      </c>
      <c r="H1024" s="197">
        <f t="shared" si="275"/>
        <v>400</v>
      </c>
      <c r="I1024" s="212"/>
      <c r="J1024" s="282">
        <v>8920</v>
      </c>
      <c r="K1024" s="295" t="s">
        <v>577</v>
      </c>
      <c r="L1024" s="284">
        <v>8500</v>
      </c>
    </row>
    <row r="1025" spans="1:12">
      <c r="A1025" s="213" t="s">
        <v>55</v>
      </c>
      <c r="B1025" s="199">
        <v>45995</v>
      </c>
      <c r="C1025" s="204" t="s">
        <v>1737</v>
      </c>
      <c r="D1025" s="205" t="s">
        <v>1723</v>
      </c>
      <c r="E1025" s="202">
        <v>7500</v>
      </c>
      <c r="F1025" s="195">
        <f t="shared" si="274"/>
        <v>3750</v>
      </c>
      <c r="G1025" s="203">
        <v>2</v>
      </c>
      <c r="H1025" s="197">
        <f t="shared" si="275"/>
        <v>400</v>
      </c>
      <c r="I1025" s="206"/>
      <c r="J1025" s="282">
        <v>7900</v>
      </c>
      <c r="K1025" s="288" t="s">
        <v>57</v>
      </c>
      <c r="L1025" s="284">
        <v>7500</v>
      </c>
    </row>
    <row r="1026" spans="1:12">
      <c r="A1026" s="213"/>
      <c r="B1026" s="199">
        <v>45992</v>
      </c>
      <c r="C1026" s="204" t="s">
        <v>1730</v>
      </c>
      <c r="D1026" s="205" t="s">
        <v>1707</v>
      </c>
      <c r="E1026" s="202">
        <v>6500</v>
      </c>
      <c r="F1026" s="195">
        <f t="shared" si="274"/>
        <v>3250</v>
      </c>
      <c r="G1026" s="203">
        <v>1</v>
      </c>
      <c r="H1026" s="197">
        <f t="shared" si="275"/>
        <v>200</v>
      </c>
      <c r="I1026" s="206"/>
      <c r="J1026" s="254">
        <v>6700</v>
      </c>
      <c r="K1026" s="296" t="s">
        <v>378</v>
      </c>
      <c r="L1026" s="284">
        <v>6500</v>
      </c>
    </row>
    <row r="1027" spans="1:12">
      <c r="A1027" s="213" t="s">
        <v>60</v>
      </c>
      <c r="B1027" s="199">
        <v>45991</v>
      </c>
      <c r="C1027" s="14" t="s">
        <v>1724</v>
      </c>
      <c r="D1027" s="205" t="s">
        <v>1713</v>
      </c>
      <c r="E1027" s="202">
        <v>6500</v>
      </c>
      <c r="F1027" s="195">
        <f t="shared" si="274"/>
        <v>3250</v>
      </c>
      <c r="G1027" s="203">
        <v>1</v>
      </c>
      <c r="H1027" s="197">
        <f t="shared" si="275"/>
        <v>200</v>
      </c>
      <c r="I1027" s="206"/>
      <c r="J1027" s="254">
        <v>6700</v>
      </c>
      <c r="K1027" s="295" t="s">
        <v>1725</v>
      </c>
      <c r="L1027" s="284">
        <v>6500</v>
      </c>
    </row>
    <row r="1028" spans="1:12">
      <c r="A1028" s="214" t="s">
        <v>63</v>
      </c>
      <c r="B1028" s="199">
        <v>45995</v>
      </c>
      <c r="C1028" s="204" t="s">
        <v>1738</v>
      </c>
      <c r="D1028" s="205" t="s">
        <v>1706</v>
      </c>
      <c r="E1028" s="206">
        <v>9000</v>
      </c>
      <c r="F1028" s="195">
        <f t="shared" ref="F1028:F1034" si="276">SUM(E1028*0.5)</f>
        <v>4500</v>
      </c>
      <c r="G1028" s="203">
        <v>2</v>
      </c>
      <c r="H1028" s="197">
        <f t="shared" ref="H1028:H1033" si="277">SUM(G1028*200)</f>
        <v>400</v>
      </c>
      <c r="I1028" s="206"/>
      <c r="J1028" s="282">
        <v>9400</v>
      </c>
      <c r="K1028" s="288" t="s">
        <v>584</v>
      </c>
      <c r="L1028" s="291">
        <v>9000</v>
      </c>
    </row>
    <row r="1029" spans="1:12">
      <c r="A1029" s="214" t="s">
        <v>67</v>
      </c>
      <c r="B1029" s="199">
        <v>45985</v>
      </c>
      <c r="C1029" s="14" t="s">
        <v>1712</v>
      </c>
      <c r="D1029" s="205" t="s">
        <v>1703</v>
      </c>
      <c r="E1029" s="206">
        <v>8500</v>
      </c>
      <c r="F1029" s="195">
        <f t="shared" si="276"/>
        <v>4250</v>
      </c>
      <c r="G1029" s="203">
        <v>2</v>
      </c>
      <c r="H1029" s="197">
        <f t="shared" si="277"/>
        <v>400</v>
      </c>
      <c r="I1029" s="206"/>
      <c r="J1029" s="282">
        <v>8900</v>
      </c>
      <c r="K1029" s="295" t="s">
        <v>1074</v>
      </c>
      <c r="L1029" s="284">
        <v>8500</v>
      </c>
    </row>
    <row r="1030" spans="1:12">
      <c r="A1030" s="214" t="s">
        <v>71</v>
      </c>
      <c r="B1030" s="199">
        <v>45994</v>
      </c>
      <c r="C1030" s="204" t="s">
        <v>1731</v>
      </c>
      <c r="D1030" s="205" t="s">
        <v>1705</v>
      </c>
      <c r="E1030" s="206">
        <v>8500</v>
      </c>
      <c r="F1030" s="195">
        <f t="shared" si="276"/>
        <v>4250</v>
      </c>
      <c r="G1030" s="203">
        <v>2</v>
      </c>
      <c r="H1030" s="197">
        <f t="shared" si="277"/>
        <v>400</v>
      </c>
      <c r="I1030" s="206"/>
      <c r="J1030" s="282">
        <v>8900</v>
      </c>
      <c r="K1030" s="288" t="s">
        <v>383</v>
      </c>
      <c r="L1030" s="291">
        <v>8500</v>
      </c>
    </row>
    <row r="1031" spans="1:12">
      <c r="A1031" s="214" t="s">
        <v>74</v>
      </c>
      <c r="B1031" s="199">
        <v>45992</v>
      </c>
      <c r="C1031" s="14" t="s">
        <v>1729</v>
      </c>
      <c r="D1031" s="205" t="s">
        <v>1705</v>
      </c>
      <c r="E1031" s="206">
        <v>8500</v>
      </c>
      <c r="F1031" s="195">
        <f t="shared" si="276"/>
        <v>4250</v>
      </c>
      <c r="G1031" s="203">
        <v>2</v>
      </c>
      <c r="H1031" s="197">
        <f t="shared" si="277"/>
        <v>400</v>
      </c>
      <c r="I1031" s="206"/>
      <c r="J1031" s="282">
        <v>8900</v>
      </c>
      <c r="K1031" s="288" t="s">
        <v>1608</v>
      </c>
      <c r="L1031" s="291">
        <v>8500</v>
      </c>
    </row>
    <row r="1032" spans="1:12">
      <c r="A1032" s="214" t="s">
        <v>77</v>
      </c>
      <c r="B1032" s="199">
        <v>45964</v>
      </c>
      <c r="C1032" s="208" t="s">
        <v>1708</v>
      </c>
      <c r="D1032" s="205" t="s">
        <v>1704</v>
      </c>
      <c r="E1032" s="206">
        <v>8000</v>
      </c>
      <c r="F1032" s="195">
        <f t="shared" si="276"/>
        <v>4000</v>
      </c>
      <c r="G1032" s="203">
        <v>2</v>
      </c>
      <c r="H1032" s="197">
        <f t="shared" si="277"/>
        <v>400</v>
      </c>
      <c r="I1032" s="206"/>
      <c r="J1032" s="282">
        <v>8400</v>
      </c>
      <c r="K1032" s="288" t="s">
        <v>340</v>
      </c>
      <c r="L1032" s="291">
        <v>8000</v>
      </c>
    </row>
    <row r="1033" spans="1:12">
      <c r="A1033" s="214" t="s">
        <v>81</v>
      </c>
      <c r="B1033" s="199">
        <v>45994</v>
      </c>
      <c r="C1033" s="208" t="s">
        <v>1733</v>
      </c>
      <c r="D1033" s="177" t="s">
        <v>1734</v>
      </c>
      <c r="E1033" s="209">
        <v>6000</v>
      </c>
      <c r="F1033" s="195">
        <f t="shared" si="276"/>
        <v>3000</v>
      </c>
      <c r="G1033" s="210">
        <v>1</v>
      </c>
      <c r="H1033" s="197">
        <f t="shared" si="277"/>
        <v>200</v>
      </c>
      <c r="I1033" s="206"/>
      <c r="J1033" s="282">
        <v>6200</v>
      </c>
      <c r="K1033" s="295" t="s">
        <v>83</v>
      </c>
      <c r="L1033" s="291">
        <v>6000</v>
      </c>
    </row>
    <row r="1034" spans="1:12">
      <c r="A1034" s="215" t="s">
        <v>84</v>
      </c>
      <c r="B1034" s="216">
        <v>45994</v>
      </c>
      <c r="C1034" s="208" t="s">
        <v>1732</v>
      </c>
      <c r="D1034" s="208" t="s">
        <v>1703</v>
      </c>
      <c r="E1034" s="209">
        <v>6500</v>
      </c>
      <c r="F1034" s="195">
        <f t="shared" si="276"/>
        <v>3250</v>
      </c>
      <c r="G1034" s="210">
        <v>2</v>
      </c>
      <c r="H1034" s="197">
        <v>400</v>
      </c>
      <c r="I1034" s="209"/>
      <c r="J1034" s="254">
        <v>6900</v>
      </c>
      <c r="K1034" s="24" t="s">
        <v>1300</v>
      </c>
      <c r="L1034" s="287">
        <v>6000</v>
      </c>
    </row>
    <row r="1035" spans="1:12" ht="15.75" thickBot="1">
      <c r="A1035" s="221"/>
      <c r="B1035" s="222"/>
      <c r="C1035" s="223"/>
      <c r="D1035" s="224"/>
      <c r="E1035" s="225">
        <f>SUM(E1013:E1034)</f>
        <v>165250</v>
      </c>
      <c r="F1035" s="226">
        <f>SUM(F1013:F1034)</f>
        <v>82625</v>
      </c>
      <c r="G1035" s="225">
        <f t="shared" ref="G1035:J1035" si="278">SUM(G1013:G1034)</f>
        <v>35</v>
      </c>
      <c r="H1035" s="227">
        <f t="shared" si="278"/>
        <v>7000</v>
      </c>
      <c r="I1035" s="225">
        <f t="shared" si="278"/>
        <v>0</v>
      </c>
      <c r="J1035" s="227">
        <f t="shared" si="278"/>
        <v>172270</v>
      </c>
      <c r="K1035" s="306"/>
      <c r="L1035" s="307">
        <f>SUM(L1013:L1034)</f>
        <v>162500</v>
      </c>
    </row>
    <row r="1036" spans="1:12">
      <c r="A1036" s="228" t="s">
        <v>88</v>
      </c>
      <c r="B1036" s="229"/>
      <c r="C1036" s="230"/>
      <c r="D1036" s="205"/>
      <c r="E1036" s="195"/>
      <c r="F1036" s="195"/>
      <c r="G1036" s="231"/>
      <c r="H1036" s="195"/>
      <c r="I1036" s="195"/>
      <c r="J1036" s="230"/>
      <c r="K1036" s="309"/>
      <c r="L1036" s="291"/>
    </row>
    <row r="1037" spans="1:12">
      <c r="A1037" s="176" t="s">
        <v>89</v>
      </c>
      <c r="B1037" s="199">
        <v>45972</v>
      </c>
      <c r="C1037" s="204" t="s">
        <v>90</v>
      </c>
      <c r="D1037" s="205" t="s">
        <v>1710</v>
      </c>
      <c r="E1037" s="206">
        <v>10000</v>
      </c>
      <c r="F1037" s="195"/>
      <c r="G1037" s="232">
        <v>2</v>
      </c>
      <c r="H1037" s="197">
        <f t="shared" ref="H1037:H1039" si="279">SUM(G1037*200)</f>
        <v>400</v>
      </c>
      <c r="I1037" s="206"/>
      <c r="J1037" s="282">
        <v>10400</v>
      </c>
      <c r="K1037" s="288" t="s">
        <v>92</v>
      </c>
      <c r="L1037" s="291">
        <v>10000</v>
      </c>
    </row>
    <row r="1038" spans="1:12">
      <c r="A1038" s="176" t="s">
        <v>93</v>
      </c>
      <c r="B1038" s="199">
        <v>45995</v>
      </c>
      <c r="C1038" s="207" t="s">
        <v>94</v>
      </c>
      <c r="D1038" s="177" t="s">
        <v>1739</v>
      </c>
      <c r="E1038" s="212">
        <v>10000</v>
      </c>
      <c r="F1038" s="233"/>
      <c r="G1038" s="210">
        <v>2</v>
      </c>
      <c r="H1038" s="197">
        <f t="shared" si="279"/>
        <v>400</v>
      </c>
      <c r="I1038" s="202"/>
      <c r="J1038" s="282">
        <v>10400</v>
      </c>
      <c r="K1038" s="310" t="s">
        <v>96</v>
      </c>
      <c r="L1038" s="284">
        <v>6000</v>
      </c>
    </row>
    <row r="1039" spans="1:12">
      <c r="A1039" s="176" t="s">
        <v>97</v>
      </c>
      <c r="B1039" s="199">
        <v>45972</v>
      </c>
      <c r="C1039" s="204" t="s">
        <v>98</v>
      </c>
      <c r="D1039" s="205" t="s">
        <v>1702</v>
      </c>
      <c r="E1039" s="234">
        <v>12000</v>
      </c>
      <c r="F1039" s="235"/>
      <c r="G1039" s="232">
        <v>2</v>
      </c>
      <c r="H1039" s="197">
        <f t="shared" si="279"/>
        <v>400</v>
      </c>
      <c r="I1039" s="206"/>
      <c r="J1039" s="282">
        <v>12400</v>
      </c>
      <c r="K1039" s="288" t="s">
        <v>99</v>
      </c>
      <c r="L1039" s="291">
        <v>12000</v>
      </c>
    </row>
    <row r="1040" spans="1:12">
      <c r="A1040" s="176" t="s">
        <v>100</v>
      </c>
      <c r="B1040" s="199">
        <v>45993</v>
      </c>
      <c r="C1040" s="236" t="s">
        <v>1619</v>
      </c>
      <c r="D1040" s="205" t="s">
        <v>1698</v>
      </c>
      <c r="E1040" s="212">
        <v>12000</v>
      </c>
      <c r="F1040" s="195"/>
      <c r="G1040" s="210">
        <v>4</v>
      </c>
      <c r="H1040" s="197">
        <f t="shared" ref="H1040:H1041" si="280">SUM(G1040*200)</f>
        <v>800</v>
      </c>
      <c r="I1040" s="212"/>
      <c r="J1040" s="282">
        <v>12800</v>
      </c>
      <c r="K1040" s="295" t="s">
        <v>1620</v>
      </c>
      <c r="L1040" s="284">
        <v>12000</v>
      </c>
    </row>
    <row r="1041" spans="1:12">
      <c r="A1041" s="176" t="s">
        <v>104</v>
      </c>
      <c r="B1041" s="339">
        <v>45995</v>
      </c>
      <c r="C1041" s="237" t="s">
        <v>1575</v>
      </c>
      <c r="D1041" s="205" t="s">
        <v>1701</v>
      </c>
      <c r="E1041" s="206">
        <v>12000</v>
      </c>
      <c r="F1041" s="195"/>
      <c r="G1041" s="238">
        <v>4</v>
      </c>
      <c r="H1041" s="197">
        <f t="shared" si="280"/>
        <v>800</v>
      </c>
      <c r="I1041" s="219"/>
      <c r="J1041" s="282">
        <v>12800</v>
      </c>
      <c r="K1041" s="311" t="s">
        <v>107</v>
      </c>
      <c r="L1041" s="291">
        <v>12000</v>
      </c>
    </row>
    <row r="1042" spans="1:12" ht="15.75" thickBot="1">
      <c r="A1042" s="239"/>
      <c r="B1042" s="240"/>
      <c r="C1042" s="241" t="s">
        <v>108</v>
      </c>
      <c r="D1042" s="242"/>
      <c r="E1042" s="243">
        <f>SUM(E1037:E1040)</f>
        <v>44000</v>
      </c>
      <c r="F1042" s="226"/>
      <c r="G1042" s="226">
        <f>SUM(G1037:G1040)</f>
        <v>10</v>
      </c>
      <c r="H1042" s="226">
        <f>SUM(H1037:H1040)</f>
        <v>2000</v>
      </c>
      <c r="I1042" s="243">
        <f>SUM(I1037:I1040)</f>
        <v>0</v>
      </c>
      <c r="J1042" s="226">
        <f>SUM(J1037:J1040)</f>
        <v>46000</v>
      </c>
      <c r="K1042" s="306"/>
      <c r="L1042" s="312">
        <f>SUM(L1037:L1041)</f>
        <v>52000</v>
      </c>
    </row>
    <row r="1043" spans="1:12">
      <c r="A1043" s="228" t="s">
        <v>109</v>
      </c>
      <c r="B1043" s="244"/>
      <c r="C1043" s="245"/>
      <c r="D1043" s="205"/>
      <c r="E1043" s="195"/>
      <c r="F1043" s="195"/>
      <c r="G1043" s="231"/>
      <c r="H1043" s="195"/>
      <c r="I1043" s="195"/>
      <c r="J1043" s="195"/>
      <c r="K1043" s="309"/>
      <c r="L1043" s="313"/>
    </row>
    <row r="1044" spans="1:12" ht="15.75" thickBot="1">
      <c r="A1044" s="246" t="s">
        <v>110</v>
      </c>
      <c r="B1044" s="247"/>
      <c r="C1044" s="248" t="s">
        <v>111</v>
      </c>
      <c r="D1044" s="242"/>
      <c r="E1044" s="243"/>
      <c r="F1044" s="226"/>
      <c r="G1044" s="249"/>
      <c r="H1044" s="226"/>
      <c r="I1044" s="243"/>
      <c r="J1044" s="226"/>
      <c r="K1044" s="306"/>
      <c r="L1044" s="312"/>
    </row>
    <row r="1045" spans="1:12">
      <c r="A1045" s="228" t="s">
        <v>112</v>
      </c>
      <c r="B1045" s="250"/>
      <c r="C1045" s="245"/>
      <c r="D1045" s="205"/>
      <c r="E1045" s="195"/>
      <c r="F1045" s="195"/>
      <c r="G1045" s="231"/>
      <c r="H1045" s="195"/>
      <c r="I1045" s="195"/>
      <c r="J1045" s="195"/>
      <c r="K1045" s="309"/>
      <c r="L1045" s="313"/>
    </row>
    <row r="1046" spans="1:12">
      <c r="A1046" s="176" t="s">
        <v>113</v>
      </c>
      <c r="B1046" s="199">
        <v>45880</v>
      </c>
      <c r="C1046" s="251" t="s">
        <v>114</v>
      </c>
      <c r="D1046" s="177" t="s">
        <v>1700</v>
      </c>
      <c r="E1046" s="206">
        <v>12600</v>
      </c>
      <c r="F1046" s="230"/>
      <c r="G1046" s="209">
        <v>2</v>
      </c>
      <c r="H1046" s="197">
        <f t="shared" ref="H1046:H1048" si="281">SUM(G1046*200)</f>
        <v>400</v>
      </c>
      <c r="I1046" s="314"/>
      <c r="J1046" s="282">
        <v>12400</v>
      </c>
      <c r="K1046" s="295" t="s">
        <v>115</v>
      </c>
      <c r="L1046" s="291">
        <v>12000</v>
      </c>
    </row>
    <row r="1047" spans="1:12">
      <c r="A1047" s="176" t="s">
        <v>116</v>
      </c>
      <c r="B1047" s="199">
        <v>45967</v>
      </c>
      <c r="C1047" s="252" t="s">
        <v>117</v>
      </c>
      <c r="D1047" s="205" t="s">
        <v>1699</v>
      </c>
      <c r="E1047" s="206">
        <v>7000</v>
      </c>
      <c r="F1047" s="195"/>
      <c r="G1047" s="209">
        <v>1</v>
      </c>
      <c r="H1047" s="197">
        <f t="shared" si="281"/>
        <v>200</v>
      </c>
      <c r="I1047" s="314"/>
      <c r="J1047" s="282">
        <v>7200</v>
      </c>
      <c r="K1047" s="288" t="s">
        <v>119</v>
      </c>
      <c r="L1047" s="291">
        <v>7000</v>
      </c>
    </row>
    <row r="1048" spans="1:12">
      <c r="A1048" s="176" t="s">
        <v>120</v>
      </c>
      <c r="B1048" s="199">
        <v>45991</v>
      </c>
      <c r="C1048" s="253" t="s">
        <v>121</v>
      </c>
      <c r="D1048" s="177" t="s">
        <v>1698</v>
      </c>
      <c r="E1048" s="209">
        <v>10000</v>
      </c>
      <c r="F1048" s="254"/>
      <c r="G1048" s="209">
        <v>2</v>
      </c>
      <c r="H1048" s="197">
        <f t="shared" si="281"/>
        <v>400</v>
      </c>
      <c r="I1048" s="315"/>
      <c r="J1048" s="254">
        <v>10400</v>
      </c>
      <c r="K1048" s="316" t="s">
        <v>122</v>
      </c>
      <c r="L1048" s="291">
        <v>10000</v>
      </c>
    </row>
    <row r="1049" spans="1:12" ht="15.75" thickBot="1">
      <c r="A1049" s="246"/>
      <c r="B1049" s="247"/>
      <c r="C1049" s="255"/>
      <c r="D1049" s="242"/>
      <c r="E1049" s="256">
        <f>SUM(E1046:E1048)</f>
        <v>29600</v>
      </c>
      <c r="F1049" s="257"/>
      <c r="G1049" s="256">
        <f>SUM(G1046:G1048)</f>
        <v>5</v>
      </c>
      <c r="H1049" s="257">
        <f>SUM(H1046:H1048)</f>
        <v>1000</v>
      </c>
      <c r="I1049" s="257">
        <f>SUM(I1046:I1048)</f>
        <v>0</v>
      </c>
      <c r="J1049" s="257">
        <f>SUM(J1046:J1048)</f>
        <v>30000</v>
      </c>
      <c r="K1049" s="317"/>
      <c r="L1049" s="312">
        <f>SUM(L1046:L1048)</f>
        <v>29000</v>
      </c>
    </row>
    <row r="1050" spans="1:12">
      <c r="B1050" s="244"/>
      <c r="C1050" s="80"/>
      <c r="D1050" s="258"/>
      <c r="E1050" s="259">
        <f>SUM(E1035,E1042,E1044,E1049)</f>
        <v>238850</v>
      </c>
      <c r="F1050" s="260"/>
      <c r="G1050" s="259">
        <f>SUM(G1035,G1042,G1044,G1049)</f>
        <v>50</v>
      </c>
      <c r="H1050" s="259">
        <f>SUM(H1035,H1042,H1044,H1049)</f>
        <v>10000</v>
      </c>
      <c r="I1050" s="318">
        <f>SUM(I1035,I1042,I1044,I1049)</f>
        <v>0</v>
      </c>
      <c r="J1050" s="259">
        <f>SUM(J1035,J1042,J1044,J1049)</f>
        <v>248270</v>
      </c>
      <c r="K1050" s="319"/>
      <c r="L1050" s="291"/>
    </row>
    <row r="1051" spans="1:12">
      <c r="A1051" s="228" t="s">
        <v>123</v>
      </c>
      <c r="B1051" s="261"/>
      <c r="C1051" s="262"/>
      <c r="D1051" s="15"/>
      <c r="E1051" s="195"/>
      <c r="F1051" s="263" t="s">
        <v>124</v>
      </c>
      <c r="G1051" s="264"/>
      <c r="H1051" s="195"/>
      <c r="I1051" s="195"/>
      <c r="J1051" s="230"/>
      <c r="K1051" s="309"/>
      <c r="L1051" s="284"/>
    </row>
    <row r="1052" spans="1:12">
      <c r="A1052" s="176" t="s">
        <v>125</v>
      </c>
      <c r="B1052" s="199">
        <v>45973</v>
      </c>
      <c r="C1052" s="265" t="s">
        <v>126</v>
      </c>
      <c r="D1052" s="205" t="s">
        <v>1697</v>
      </c>
      <c r="E1052" s="202">
        <v>5000</v>
      </c>
      <c r="F1052" s="266">
        <v>325</v>
      </c>
      <c r="G1052" s="203">
        <v>2</v>
      </c>
      <c r="H1052" s="266">
        <f t="shared" ref="H1052:H1053" si="282">SUM(G1052*200)</f>
        <v>400</v>
      </c>
      <c r="I1052" s="202"/>
      <c r="J1052" s="282">
        <v>5400</v>
      </c>
      <c r="K1052" s="319" t="s">
        <v>128</v>
      </c>
      <c r="L1052" s="284">
        <v>5000</v>
      </c>
    </row>
    <row r="1053" spans="1:12">
      <c r="A1053" s="176" t="s">
        <v>129</v>
      </c>
      <c r="B1053" s="199">
        <v>45991</v>
      </c>
      <c r="C1053" s="265" t="s">
        <v>130</v>
      </c>
      <c r="D1053" s="205" t="s">
        <v>1696</v>
      </c>
      <c r="E1053" s="206">
        <v>5500</v>
      </c>
      <c r="F1053" s="195"/>
      <c r="G1053" s="203">
        <v>1</v>
      </c>
      <c r="H1053" s="266">
        <f t="shared" si="282"/>
        <v>200</v>
      </c>
      <c r="I1053" s="206"/>
      <c r="J1053" s="282">
        <f>SUM(E1053,H1053:I1053)</f>
        <v>5700</v>
      </c>
      <c r="K1053" s="319" t="s">
        <v>132</v>
      </c>
      <c r="L1053" s="291">
        <v>5500</v>
      </c>
    </row>
    <row r="1054" spans="1:12" ht="15.75" thickBot="1">
      <c r="A1054" s="267" t="s">
        <v>133</v>
      </c>
      <c r="B1054" s="268"/>
      <c r="C1054" s="269"/>
      <c r="D1054" s="242"/>
      <c r="E1054" s="270">
        <f>SUM(E1052:E1053)</f>
        <v>10500</v>
      </c>
      <c r="F1054" s="226">
        <f t="shared" ref="F1054:I1054" si="283">SUM(F1052:F1053)</f>
        <v>325</v>
      </c>
      <c r="G1054" s="243">
        <f t="shared" si="283"/>
        <v>3</v>
      </c>
      <c r="H1054" s="226">
        <f t="shared" si="283"/>
        <v>600</v>
      </c>
      <c r="I1054" s="320">
        <f t="shared" si="283"/>
        <v>0</v>
      </c>
      <c r="J1054" s="321">
        <f>SUM(F1054,H1054,I1054,)</f>
        <v>925</v>
      </c>
      <c r="K1054" s="322"/>
      <c r="L1054" s="322"/>
    </row>
    <row r="1055" spans="1:12">
      <c r="E1055" s="271" t="s">
        <v>134</v>
      </c>
      <c r="F1055" s="272">
        <f>SUM(F1050,F1054)</f>
        <v>325</v>
      </c>
      <c r="H1055" s="272">
        <f>SUM(H1050,H1054)</f>
        <v>10600</v>
      </c>
      <c r="I1055" s="324">
        <f>SUM(I1050,I1054)</f>
        <v>0</v>
      </c>
      <c r="J1055" s="325" t="s">
        <v>135</v>
      </c>
    </row>
    <row r="1056" spans="1:12">
      <c r="D1056" s="326">
        <f>SUM(E556,E600,E645,E690,E735,E780,E825,E870,E915,E960,E1005,E1050)</f>
        <v>294100</v>
      </c>
      <c r="E1056" s="326">
        <f>SUM(E541,E585,E630,E681,E720,E765,E810,E855,E900,E945,E990,E1035)</f>
        <v>497200</v>
      </c>
    </row>
    <row r="1060" spans="1:12" ht="18.75" thickBot="1">
      <c r="A1060" s="185" t="s">
        <v>8</v>
      </c>
      <c r="B1060" s="348" t="s">
        <v>883</v>
      </c>
      <c r="C1060" s="187"/>
    </row>
    <row r="1061" spans="1:12">
      <c r="A1061" s="190" t="s">
        <v>10</v>
      </c>
      <c r="B1061" s="191">
        <v>46026</v>
      </c>
      <c r="C1061" s="7" t="s">
        <v>1802</v>
      </c>
      <c r="D1061" s="193" t="s">
        <v>1740</v>
      </c>
      <c r="E1061" s="194">
        <v>8000</v>
      </c>
      <c r="F1061" s="195">
        <f>SUM(E1061*0.5)</f>
        <v>4000</v>
      </c>
      <c r="G1061" s="196">
        <v>1</v>
      </c>
      <c r="H1061" s="197">
        <f t="shared" ref="H1061:H1063" si="284">SUM(G1061*200)</f>
        <v>200</v>
      </c>
      <c r="I1061" s="194"/>
      <c r="J1061" s="279">
        <v>8200</v>
      </c>
      <c r="K1061" s="280" t="s">
        <v>13</v>
      </c>
      <c r="L1061" s="281">
        <v>8000</v>
      </c>
    </row>
    <row r="1062" spans="1:12">
      <c r="A1062" s="198" t="s">
        <v>14</v>
      </c>
      <c r="B1062" s="199">
        <v>46025</v>
      </c>
      <c r="C1062" s="201" t="s">
        <v>1801</v>
      </c>
      <c r="D1062" s="201" t="s">
        <v>1741</v>
      </c>
      <c r="E1062" s="202">
        <v>8500</v>
      </c>
      <c r="F1062" s="195">
        <f>SUM(E1062*0.5)</f>
        <v>4250</v>
      </c>
      <c r="G1062" s="203">
        <v>3</v>
      </c>
      <c r="H1062" s="197">
        <f t="shared" si="284"/>
        <v>600</v>
      </c>
      <c r="I1062" s="206"/>
      <c r="J1062" s="282">
        <v>9100</v>
      </c>
      <c r="K1062" s="283" t="s">
        <v>314</v>
      </c>
      <c r="L1062" s="284">
        <v>8500</v>
      </c>
    </row>
    <row r="1063" spans="1:12">
      <c r="A1063" s="190" t="s">
        <v>18</v>
      </c>
      <c r="B1063" s="199">
        <v>46021</v>
      </c>
      <c r="C1063" s="14" t="s">
        <v>1763</v>
      </c>
      <c r="D1063" s="205" t="s">
        <v>1742</v>
      </c>
      <c r="E1063" s="202">
        <v>8000</v>
      </c>
      <c r="F1063" s="195">
        <f t="shared" ref="F1063:F1064" si="285">SUM(E1063*0.5)</f>
        <v>4000</v>
      </c>
      <c r="G1063" s="203">
        <v>1</v>
      </c>
      <c r="H1063" s="197">
        <f t="shared" si="284"/>
        <v>200</v>
      </c>
      <c r="I1063" s="206"/>
      <c r="J1063" s="282">
        <f>SUM(E1063,H1063:I1063)</f>
        <v>8200</v>
      </c>
      <c r="K1063" s="288" t="s">
        <v>21</v>
      </c>
      <c r="L1063" s="284">
        <v>8000</v>
      </c>
    </row>
    <row r="1064" spans="1:12" ht="25.5">
      <c r="A1064" s="190" t="s">
        <v>22</v>
      </c>
      <c r="B1064" s="199">
        <v>46001</v>
      </c>
      <c r="C1064" s="26" t="s">
        <v>1757</v>
      </c>
      <c r="D1064" s="205" t="s">
        <v>1743</v>
      </c>
      <c r="E1064" s="206">
        <v>7250</v>
      </c>
      <c r="F1064" s="195">
        <f t="shared" si="285"/>
        <v>3625</v>
      </c>
      <c r="G1064" s="203">
        <v>1</v>
      </c>
      <c r="H1064" s="197">
        <f t="shared" ref="H1064" si="286">SUM(G1064*200)</f>
        <v>200</v>
      </c>
      <c r="I1064" s="206"/>
      <c r="J1064" s="282">
        <v>7450</v>
      </c>
      <c r="K1064" s="290" t="s">
        <v>25</v>
      </c>
      <c r="L1064" s="291">
        <v>5000</v>
      </c>
    </row>
    <row r="1065" spans="1:12">
      <c r="A1065" s="190" t="s">
        <v>26</v>
      </c>
      <c r="B1065" s="199">
        <v>46021</v>
      </c>
      <c r="C1065" s="208" t="s">
        <v>1764</v>
      </c>
      <c r="D1065" s="205" t="s">
        <v>1744</v>
      </c>
      <c r="E1065" s="206">
        <v>6000</v>
      </c>
      <c r="F1065" s="195">
        <f t="shared" ref="F1065" si="287">SUM(E1065*0.5)</f>
        <v>3000</v>
      </c>
      <c r="G1065" s="203">
        <v>1</v>
      </c>
      <c r="H1065" s="197">
        <f t="shared" ref="H1065" si="288">SUM(G1065*200)</f>
        <v>200</v>
      </c>
      <c r="I1065" s="206"/>
      <c r="J1065" s="282">
        <v>6200</v>
      </c>
      <c r="K1065" s="288" t="s">
        <v>1608</v>
      </c>
      <c r="L1065" s="291">
        <v>6000</v>
      </c>
    </row>
    <row r="1066" spans="1:12">
      <c r="A1066" s="190" t="s">
        <v>30</v>
      </c>
      <c r="B1066" s="199">
        <v>46035</v>
      </c>
      <c r="C1066" s="363" t="s">
        <v>1809</v>
      </c>
      <c r="D1066" s="205" t="s">
        <v>575</v>
      </c>
      <c r="E1066" s="209">
        <v>6500</v>
      </c>
      <c r="F1066" s="195">
        <v>3250</v>
      </c>
      <c r="G1066" s="210">
        <v>3</v>
      </c>
      <c r="H1066" s="197">
        <v>600</v>
      </c>
      <c r="I1066" s="209"/>
      <c r="J1066" s="254">
        <v>7100</v>
      </c>
      <c r="K1066" s="294" t="s">
        <v>1344</v>
      </c>
      <c r="L1066" s="287">
        <v>6500</v>
      </c>
    </row>
    <row r="1067" spans="1:12">
      <c r="A1067" s="190" t="s">
        <v>33</v>
      </c>
      <c r="B1067" s="199">
        <v>46020</v>
      </c>
      <c r="C1067" s="14" t="s">
        <v>1762</v>
      </c>
      <c r="D1067" s="205" t="s">
        <v>569</v>
      </c>
      <c r="E1067" s="202">
        <v>6000</v>
      </c>
      <c r="F1067" s="195">
        <f t="shared" ref="F1067" si="289">SUM(E1067*0.5)</f>
        <v>3000</v>
      </c>
      <c r="G1067" s="210">
        <v>1</v>
      </c>
      <c r="H1067" s="197">
        <f t="shared" ref="H1067" si="290">SUM(G1067*200)</f>
        <v>200</v>
      </c>
      <c r="I1067" s="202"/>
      <c r="J1067" s="197">
        <v>6200</v>
      </c>
      <c r="K1067" s="288" t="s">
        <v>17</v>
      </c>
      <c r="L1067" s="284">
        <v>6000</v>
      </c>
    </row>
    <row r="1068" spans="1:12">
      <c r="A1068" s="190" t="s">
        <v>35</v>
      </c>
      <c r="B1068" s="199">
        <v>46020</v>
      </c>
      <c r="C1068" s="211" t="s">
        <v>1761</v>
      </c>
      <c r="D1068" s="177" t="s">
        <v>1745</v>
      </c>
      <c r="E1068" s="212">
        <v>6500</v>
      </c>
      <c r="F1068" s="195">
        <v>3250</v>
      </c>
      <c r="G1068" s="210">
        <v>1</v>
      </c>
      <c r="H1068" s="197">
        <v>200</v>
      </c>
      <c r="I1068" s="206"/>
      <c r="J1068" s="282">
        <v>6700</v>
      </c>
      <c r="K1068" s="295" t="s">
        <v>1717</v>
      </c>
      <c r="L1068" s="284">
        <v>6500</v>
      </c>
    </row>
    <row r="1069" spans="1:12">
      <c r="A1069" s="213" t="s">
        <v>39</v>
      </c>
      <c r="B1069" s="199">
        <v>46022</v>
      </c>
      <c r="C1069" s="14" t="s">
        <v>1766</v>
      </c>
      <c r="D1069" s="205" t="s">
        <v>572</v>
      </c>
      <c r="E1069" s="202">
        <v>8000</v>
      </c>
      <c r="F1069" s="195">
        <f t="shared" ref="F1069" si="291">SUM(E1069*0.5)</f>
        <v>4000</v>
      </c>
      <c r="G1069" s="203">
        <v>1</v>
      </c>
      <c r="H1069" s="197">
        <f t="shared" ref="H1069" si="292">SUM(G1069*200)</f>
        <v>200</v>
      </c>
      <c r="I1069" s="202"/>
      <c r="J1069" s="282">
        <v>8200</v>
      </c>
      <c r="K1069" s="288" t="s">
        <v>42</v>
      </c>
      <c r="L1069" s="284">
        <v>8000</v>
      </c>
    </row>
    <row r="1070" spans="1:12">
      <c r="A1070" s="213" t="s">
        <v>43</v>
      </c>
      <c r="B1070" s="199">
        <v>46002</v>
      </c>
      <c r="C1070" s="204" t="s">
        <v>1758</v>
      </c>
      <c r="D1070" s="14" t="s">
        <v>1746</v>
      </c>
      <c r="E1070" s="202">
        <v>8500</v>
      </c>
      <c r="F1070" s="195">
        <v>4250</v>
      </c>
      <c r="G1070" s="203">
        <v>2</v>
      </c>
      <c r="H1070" s="197">
        <v>400</v>
      </c>
      <c r="I1070" s="206"/>
      <c r="J1070" s="282">
        <v>8900</v>
      </c>
      <c r="K1070" s="288" t="s">
        <v>1599</v>
      </c>
      <c r="L1070" s="284">
        <v>8500</v>
      </c>
    </row>
    <row r="1071" spans="1:12">
      <c r="A1071" s="213" t="s">
        <v>47</v>
      </c>
      <c r="B1071" s="199">
        <v>46026</v>
      </c>
      <c r="C1071" s="204" t="s">
        <v>1803</v>
      </c>
      <c r="D1071" s="205" t="s">
        <v>1747</v>
      </c>
      <c r="E1071" s="202">
        <v>8000</v>
      </c>
      <c r="F1071" s="195">
        <f t="shared" ref="F1071:F1082" si="293">SUM(E1071*0.5)</f>
        <v>4000</v>
      </c>
      <c r="G1071" s="203">
        <v>1</v>
      </c>
      <c r="H1071" s="197">
        <f t="shared" ref="H1071:H1080" si="294">SUM(G1071*200)</f>
        <v>200</v>
      </c>
      <c r="I1071" s="202"/>
      <c r="J1071" s="282">
        <v>8200</v>
      </c>
      <c r="K1071" s="288" t="s">
        <v>50</v>
      </c>
      <c r="L1071" s="291">
        <v>8000</v>
      </c>
    </row>
    <row r="1072" spans="1:12">
      <c r="A1072" s="213" t="s">
        <v>51</v>
      </c>
      <c r="B1072" s="199">
        <v>46018</v>
      </c>
      <c r="C1072" s="204" t="s">
        <v>1760</v>
      </c>
      <c r="D1072" s="205" t="s">
        <v>1748</v>
      </c>
      <c r="E1072" s="212">
        <v>8500</v>
      </c>
      <c r="F1072" s="195">
        <f t="shared" si="293"/>
        <v>4250</v>
      </c>
      <c r="G1072" s="210">
        <v>2</v>
      </c>
      <c r="H1072" s="197">
        <f t="shared" si="294"/>
        <v>400</v>
      </c>
      <c r="I1072" s="212"/>
      <c r="J1072" s="282">
        <v>8920</v>
      </c>
      <c r="K1072" s="295" t="s">
        <v>577</v>
      </c>
      <c r="L1072" s="284">
        <v>8500</v>
      </c>
    </row>
    <row r="1073" spans="1:12">
      <c r="A1073" s="213" t="s">
        <v>55</v>
      </c>
      <c r="B1073" s="199">
        <v>46027</v>
      </c>
      <c r="C1073" s="204" t="s">
        <v>1804</v>
      </c>
      <c r="D1073" s="205" t="s">
        <v>1747</v>
      </c>
      <c r="E1073" s="202">
        <v>7500</v>
      </c>
      <c r="F1073" s="195">
        <f t="shared" si="293"/>
        <v>3750</v>
      </c>
      <c r="G1073" s="203">
        <v>2</v>
      </c>
      <c r="H1073" s="197">
        <f t="shared" si="294"/>
        <v>400</v>
      </c>
      <c r="I1073" s="206"/>
      <c r="J1073" s="282">
        <v>7900</v>
      </c>
      <c r="K1073" s="288" t="s">
        <v>57</v>
      </c>
      <c r="L1073" s="284">
        <v>7500</v>
      </c>
    </row>
    <row r="1074" spans="1:12">
      <c r="A1074" s="213"/>
      <c r="B1074" s="199">
        <v>46036</v>
      </c>
      <c r="C1074" s="204" t="s">
        <v>1811</v>
      </c>
      <c r="D1074" s="205" t="s">
        <v>1743</v>
      </c>
      <c r="E1074" s="202">
        <v>6500</v>
      </c>
      <c r="F1074" s="195">
        <f t="shared" si="293"/>
        <v>3250</v>
      </c>
      <c r="G1074" s="203">
        <v>1</v>
      </c>
      <c r="H1074" s="197">
        <f t="shared" si="294"/>
        <v>200</v>
      </c>
      <c r="I1074" s="206"/>
      <c r="J1074" s="254">
        <v>6700</v>
      </c>
      <c r="K1074" s="296" t="s">
        <v>378</v>
      </c>
      <c r="L1074" s="284">
        <v>6500</v>
      </c>
    </row>
    <row r="1075" spans="1:12">
      <c r="A1075" s="213" t="s">
        <v>60</v>
      </c>
      <c r="B1075" s="199">
        <v>46022</v>
      </c>
      <c r="C1075" s="14" t="s">
        <v>1767</v>
      </c>
      <c r="D1075" s="205" t="s">
        <v>1749</v>
      </c>
      <c r="E1075" s="202">
        <v>6500</v>
      </c>
      <c r="F1075" s="195">
        <f t="shared" si="293"/>
        <v>3250</v>
      </c>
      <c r="G1075" s="203">
        <v>1</v>
      </c>
      <c r="H1075" s="197">
        <f t="shared" si="294"/>
        <v>200</v>
      </c>
      <c r="I1075" s="206"/>
      <c r="J1075" s="254">
        <v>6700</v>
      </c>
      <c r="K1075" s="295" t="s">
        <v>1725</v>
      </c>
      <c r="L1075" s="284">
        <v>6500</v>
      </c>
    </row>
    <row r="1076" spans="1:12">
      <c r="A1076" s="214" t="s">
        <v>63</v>
      </c>
      <c r="B1076" s="199">
        <v>46036</v>
      </c>
      <c r="C1076" s="204" t="s">
        <v>1810</v>
      </c>
      <c r="D1076" s="205" t="s">
        <v>1750</v>
      </c>
      <c r="E1076" s="206">
        <v>9000</v>
      </c>
      <c r="F1076" s="195">
        <f t="shared" si="293"/>
        <v>4500</v>
      </c>
      <c r="G1076" s="203">
        <v>2</v>
      </c>
      <c r="H1076" s="197">
        <f t="shared" si="294"/>
        <v>400</v>
      </c>
      <c r="I1076" s="206"/>
      <c r="J1076" s="282">
        <v>9400</v>
      </c>
      <c r="K1076" s="288" t="s">
        <v>584</v>
      </c>
      <c r="L1076" s="291">
        <v>9000</v>
      </c>
    </row>
    <row r="1077" spans="1:12">
      <c r="A1077" s="214" t="s">
        <v>67</v>
      </c>
      <c r="B1077" s="199">
        <v>46024</v>
      </c>
      <c r="C1077" s="14" t="s">
        <v>1769</v>
      </c>
      <c r="D1077" s="205" t="s">
        <v>1742</v>
      </c>
      <c r="E1077" s="206">
        <v>8500</v>
      </c>
      <c r="F1077" s="195">
        <f t="shared" si="293"/>
        <v>4250</v>
      </c>
      <c r="G1077" s="203">
        <v>2</v>
      </c>
      <c r="H1077" s="197">
        <f t="shared" si="294"/>
        <v>400</v>
      </c>
      <c r="I1077" s="206"/>
      <c r="J1077" s="282">
        <v>8900</v>
      </c>
      <c r="K1077" s="295" t="s">
        <v>1074</v>
      </c>
      <c r="L1077" s="284">
        <v>8500</v>
      </c>
    </row>
    <row r="1078" spans="1:12">
      <c r="A1078" s="214" t="s">
        <v>71</v>
      </c>
      <c r="B1078" s="331">
        <v>46037</v>
      </c>
      <c r="C1078" s="204" t="s">
        <v>1812</v>
      </c>
      <c r="D1078" s="205" t="s">
        <v>1751</v>
      </c>
      <c r="E1078" s="206">
        <v>8500</v>
      </c>
      <c r="F1078" s="195">
        <f t="shared" si="293"/>
        <v>4250</v>
      </c>
      <c r="G1078" s="203">
        <v>2</v>
      </c>
      <c r="H1078" s="197">
        <f t="shared" si="294"/>
        <v>400</v>
      </c>
      <c r="I1078" s="206"/>
      <c r="J1078" s="282">
        <v>8900</v>
      </c>
      <c r="K1078" s="288" t="s">
        <v>383</v>
      </c>
      <c r="L1078" s="291">
        <v>8500</v>
      </c>
    </row>
    <row r="1079" spans="1:12">
      <c r="A1079" s="214" t="s">
        <v>74</v>
      </c>
      <c r="B1079" s="199">
        <v>46022</v>
      </c>
      <c r="C1079" s="14" t="s">
        <v>1765</v>
      </c>
      <c r="D1079" s="205" t="s">
        <v>587</v>
      </c>
      <c r="E1079" s="206">
        <v>8500</v>
      </c>
      <c r="F1079" s="195">
        <f t="shared" si="293"/>
        <v>4250</v>
      </c>
      <c r="G1079" s="203">
        <v>2</v>
      </c>
      <c r="H1079" s="197">
        <f t="shared" si="294"/>
        <v>400</v>
      </c>
      <c r="I1079" s="206"/>
      <c r="J1079" s="282">
        <v>8900</v>
      </c>
      <c r="K1079" s="288" t="s">
        <v>1608</v>
      </c>
      <c r="L1079" s="291">
        <v>8500</v>
      </c>
    </row>
    <row r="1080" spans="1:12">
      <c r="A1080" s="214" t="s">
        <v>77</v>
      </c>
      <c r="B1080" s="199">
        <v>46003</v>
      </c>
      <c r="C1080" s="208" t="s">
        <v>1759</v>
      </c>
      <c r="D1080" s="205" t="s">
        <v>572</v>
      </c>
      <c r="E1080" s="206">
        <v>8000</v>
      </c>
      <c r="F1080" s="195">
        <f t="shared" si="293"/>
        <v>4000</v>
      </c>
      <c r="G1080" s="203">
        <v>2</v>
      </c>
      <c r="H1080" s="197">
        <f t="shared" si="294"/>
        <v>400</v>
      </c>
      <c r="I1080" s="206"/>
      <c r="J1080" s="282">
        <v>8400</v>
      </c>
      <c r="K1080" s="288" t="s">
        <v>340</v>
      </c>
      <c r="L1080" s="291">
        <v>8000</v>
      </c>
    </row>
    <row r="1081" spans="1:12">
      <c r="A1081" s="214" t="s">
        <v>81</v>
      </c>
      <c r="B1081" s="199"/>
      <c r="C1081" s="208" t="s">
        <v>162</v>
      </c>
      <c r="D1081" s="177"/>
      <c r="E1081" s="209"/>
      <c r="F1081" s="195"/>
      <c r="G1081" s="210"/>
      <c r="H1081" s="197"/>
      <c r="I1081" s="206"/>
      <c r="J1081" s="282"/>
      <c r="K1081" s="295"/>
      <c r="L1081" s="291"/>
    </row>
    <row r="1082" spans="1:12">
      <c r="A1082" s="215" t="s">
        <v>84</v>
      </c>
      <c r="B1082" s="216">
        <v>46023</v>
      </c>
      <c r="C1082" s="208" t="s">
        <v>1768</v>
      </c>
      <c r="D1082" s="208" t="s">
        <v>1742</v>
      </c>
      <c r="E1082" s="209">
        <v>6500</v>
      </c>
      <c r="F1082" s="195">
        <f t="shared" si="293"/>
        <v>3250</v>
      </c>
      <c r="G1082" s="210">
        <v>2</v>
      </c>
      <c r="H1082" s="197">
        <v>400</v>
      </c>
      <c r="I1082" s="209"/>
      <c r="J1082" s="254">
        <v>6900</v>
      </c>
      <c r="K1082" s="24" t="s">
        <v>1300</v>
      </c>
      <c r="L1082" s="287">
        <v>6000</v>
      </c>
    </row>
    <row r="1083" spans="1:12" ht="15.75" thickBot="1">
      <c r="A1083" s="221"/>
      <c r="B1083" s="222"/>
      <c r="C1083" s="223"/>
      <c r="D1083" s="224"/>
      <c r="E1083" s="225">
        <f>SUM(E1061:E1082)</f>
        <v>159250</v>
      </c>
      <c r="F1083" s="226">
        <f>SUM(F1061:F1082)</f>
        <v>79625</v>
      </c>
      <c r="G1083" s="225">
        <f t="shared" ref="G1083:J1083" si="295">SUM(G1061:G1082)</f>
        <v>34</v>
      </c>
      <c r="H1083" s="227">
        <f t="shared" si="295"/>
        <v>6800</v>
      </c>
      <c r="I1083" s="225">
        <f t="shared" si="295"/>
        <v>0</v>
      </c>
      <c r="J1083" s="227">
        <f t="shared" si="295"/>
        <v>166070</v>
      </c>
      <c r="K1083" s="306"/>
      <c r="L1083" s="307">
        <f>SUM(L1061:L1082)</f>
        <v>156500</v>
      </c>
    </row>
    <row r="1084" spans="1:12">
      <c r="A1084" s="228" t="s">
        <v>88</v>
      </c>
      <c r="B1084" s="229"/>
      <c r="C1084" s="230"/>
      <c r="D1084" s="205"/>
      <c r="E1084" s="195"/>
      <c r="F1084" s="195"/>
      <c r="G1084" s="231"/>
      <c r="H1084" s="195"/>
      <c r="I1084" s="195"/>
      <c r="J1084" s="230"/>
      <c r="K1084" s="309"/>
      <c r="L1084" s="291"/>
    </row>
    <row r="1085" spans="1:12">
      <c r="A1085" s="176" t="s">
        <v>89</v>
      </c>
      <c r="B1085" s="199">
        <v>46002</v>
      </c>
      <c r="C1085" s="204" t="s">
        <v>90</v>
      </c>
      <c r="D1085" s="205" t="s">
        <v>593</v>
      </c>
      <c r="E1085" s="206">
        <v>10000</v>
      </c>
      <c r="F1085" s="195"/>
      <c r="G1085" s="232">
        <v>2</v>
      </c>
      <c r="H1085" s="197">
        <f t="shared" ref="H1085:H1087" si="296">SUM(G1085*200)</f>
        <v>400</v>
      </c>
      <c r="I1085" s="206"/>
      <c r="J1085" s="282">
        <v>10400</v>
      </c>
      <c r="K1085" s="288" t="s">
        <v>92</v>
      </c>
      <c r="L1085" s="291">
        <v>10000</v>
      </c>
    </row>
    <row r="1086" spans="1:12">
      <c r="A1086" s="176" t="s">
        <v>93</v>
      </c>
      <c r="B1086" s="199">
        <v>46019</v>
      </c>
      <c r="C1086" s="207" t="s">
        <v>94</v>
      </c>
      <c r="D1086" s="177" t="s">
        <v>1752</v>
      </c>
      <c r="E1086" s="212">
        <v>10000</v>
      </c>
      <c r="F1086" s="233"/>
      <c r="G1086" s="210">
        <v>2</v>
      </c>
      <c r="H1086" s="197">
        <f t="shared" si="296"/>
        <v>400</v>
      </c>
      <c r="I1086" s="202"/>
      <c r="J1086" s="282">
        <v>10400</v>
      </c>
      <c r="K1086" s="310" t="s">
        <v>96</v>
      </c>
      <c r="L1086" s="284">
        <v>6000</v>
      </c>
    </row>
    <row r="1087" spans="1:12">
      <c r="A1087" s="176" t="s">
        <v>97</v>
      </c>
      <c r="B1087" s="199">
        <v>46009</v>
      </c>
      <c r="C1087" s="204" t="s">
        <v>98</v>
      </c>
      <c r="D1087" s="205" t="s">
        <v>1753</v>
      </c>
      <c r="E1087" s="234">
        <v>12000</v>
      </c>
      <c r="F1087" s="235"/>
      <c r="G1087" s="232">
        <v>2</v>
      </c>
      <c r="H1087" s="197">
        <f t="shared" si="296"/>
        <v>400</v>
      </c>
      <c r="I1087" s="206"/>
      <c r="J1087" s="282">
        <v>12400</v>
      </c>
      <c r="K1087" s="288" t="s">
        <v>99</v>
      </c>
      <c r="L1087" s="291">
        <v>12000</v>
      </c>
    </row>
    <row r="1088" spans="1:12">
      <c r="A1088" s="176" t="s">
        <v>100</v>
      </c>
      <c r="B1088" s="199">
        <v>46011</v>
      </c>
      <c r="C1088" s="236" t="s">
        <v>1619</v>
      </c>
      <c r="D1088" s="205" t="s">
        <v>1748</v>
      </c>
      <c r="E1088" s="212">
        <v>12000</v>
      </c>
      <c r="F1088" s="195"/>
      <c r="G1088" s="210">
        <v>4</v>
      </c>
      <c r="H1088" s="197">
        <f t="shared" ref="H1088:H1089" si="297">SUM(G1088*200)</f>
        <v>800</v>
      </c>
      <c r="I1088" s="212"/>
      <c r="J1088" s="282">
        <v>12800</v>
      </c>
      <c r="K1088" s="295" t="s">
        <v>1620</v>
      </c>
      <c r="L1088" s="284">
        <v>12000</v>
      </c>
    </row>
    <row r="1089" spans="1:12">
      <c r="A1089" s="176" t="s">
        <v>104</v>
      </c>
      <c r="B1089" s="339">
        <v>46020</v>
      </c>
      <c r="C1089" s="237" t="s">
        <v>1575</v>
      </c>
      <c r="D1089" s="205" t="s">
        <v>1754</v>
      </c>
      <c r="E1089" s="206">
        <v>12000</v>
      </c>
      <c r="F1089" s="195"/>
      <c r="G1089" s="238">
        <v>4</v>
      </c>
      <c r="H1089" s="197">
        <f t="shared" si="297"/>
        <v>800</v>
      </c>
      <c r="I1089" s="219"/>
      <c r="J1089" s="282">
        <v>12800</v>
      </c>
      <c r="K1089" s="311" t="s">
        <v>107</v>
      </c>
      <c r="L1089" s="291">
        <v>12000</v>
      </c>
    </row>
    <row r="1090" spans="1:12" ht="15.75" thickBot="1">
      <c r="A1090" s="239"/>
      <c r="B1090" s="240"/>
      <c r="C1090" s="241" t="s">
        <v>108</v>
      </c>
      <c r="D1090" s="242"/>
      <c r="E1090" s="243">
        <f>SUM(E1085:E1088)</f>
        <v>44000</v>
      </c>
      <c r="F1090" s="226"/>
      <c r="G1090" s="226">
        <f>SUM(G1085:G1088)</f>
        <v>10</v>
      </c>
      <c r="H1090" s="226">
        <f>SUM(H1085:H1088)</f>
        <v>2000</v>
      </c>
      <c r="I1090" s="243">
        <f>SUM(I1085:I1088)</f>
        <v>0</v>
      </c>
      <c r="J1090" s="226">
        <f>SUM(J1085:J1088)</f>
        <v>46000</v>
      </c>
      <c r="K1090" s="306"/>
      <c r="L1090" s="312">
        <f>SUM(L1085:L1089)</f>
        <v>52000</v>
      </c>
    </row>
    <row r="1091" spans="1:12">
      <c r="A1091" s="228" t="s">
        <v>109</v>
      </c>
      <c r="B1091" s="244"/>
      <c r="C1091" s="245"/>
      <c r="D1091" s="205"/>
      <c r="E1091" s="195"/>
      <c r="F1091" s="195"/>
      <c r="G1091" s="231"/>
      <c r="H1091" s="195"/>
      <c r="I1091" s="195"/>
      <c r="J1091" s="195"/>
      <c r="K1091" s="309"/>
      <c r="L1091" s="313"/>
    </row>
    <row r="1092" spans="1:12" ht="15.75" thickBot="1">
      <c r="A1092" s="246" t="s">
        <v>110</v>
      </c>
      <c r="B1092" s="247"/>
      <c r="C1092" s="248" t="s">
        <v>111</v>
      </c>
      <c r="D1092" s="242"/>
      <c r="E1092" s="243"/>
      <c r="F1092" s="226"/>
      <c r="G1092" s="249"/>
      <c r="H1092" s="226"/>
      <c r="I1092" s="243"/>
      <c r="J1092" s="226"/>
      <c r="K1092" s="306"/>
      <c r="L1092" s="312"/>
    </row>
    <row r="1093" spans="1:12">
      <c r="A1093" s="228" t="s">
        <v>112</v>
      </c>
      <c r="B1093" s="250"/>
      <c r="C1093" s="245"/>
      <c r="D1093" s="205"/>
      <c r="E1093" s="195"/>
      <c r="F1093" s="195"/>
      <c r="G1093" s="231"/>
      <c r="H1093" s="195"/>
      <c r="I1093" s="195"/>
      <c r="J1093" s="195"/>
      <c r="K1093" s="309"/>
      <c r="L1093" s="313"/>
    </row>
    <row r="1094" spans="1:12">
      <c r="A1094" s="176" t="s">
        <v>113</v>
      </c>
      <c r="B1094" s="199">
        <v>45880</v>
      </c>
      <c r="C1094" s="251" t="s">
        <v>114</v>
      </c>
      <c r="D1094" s="177" t="s">
        <v>572</v>
      </c>
      <c r="E1094" s="206">
        <v>12600</v>
      </c>
      <c r="F1094" s="230"/>
      <c r="G1094" s="209">
        <v>2</v>
      </c>
      <c r="H1094" s="197">
        <f t="shared" ref="H1094:H1096" si="298">SUM(G1094*200)</f>
        <v>400</v>
      </c>
      <c r="I1094" s="314"/>
      <c r="J1094" s="282">
        <v>12400</v>
      </c>
      <c r="K1094" s="295" t="s">
        <v>115</v>
      </c>
      <c r="L1094" s="291">
        <v>12000</v>
      </c>
    </row>
    <row r="1095" spans="1:12">
      <c r="A1095" s="176" t="s">
        <v>116</v>
      </c>
      <c r="B1095" s="199">
        <v>46001</v>
      </c>
      <c r="C1095" s="252" t="s">
        <v>117</v>
      </c>
      <c r="D1095" s="205" t="s">
        <v>597</v>
      </c>
      <c r="E1095" s="206">
        <v>7000</v>
      </c>
      <c r="F1095" s="195"/>
      <c r="G1095" s="209">
        <v>1</v>
      </c>
      <c r="H1095" s="197">
        <f t="shared" si="298"/>
        <v>200</v>
      </c>
      <c r="I1095" s="314"/>
      <c r="J1095" s="282">
        <v>7200</v>
      </c>
      <c r="K1095" s="288" t="s">
        <v>119</v>
      </c>
      <c r="L1095" s="291">
        <v>7000</v>
      </c>
    </row>
    <row r="1096" spans="1:12">
      <c r="A1096" s="176" t="s">
        <v>120</v>
      </c>
      <c r="B1096" s="199">
        <v>46014</v>
      </c>
      <c r="C1096" s="253" t="s">
        <v>121</v>
      </c>
      <c r="D1096" s="177" t="s">
        <v>1748</v>
      </c>
      <c r="E1096" s="209">
        <v>10000</v>
      </c>
      <c r="F1096" s="254"/>
      <c r="G1096" s="209">
        <v>2</v>
      </c>
      <c r="H1096" s="197">
        <f t="shared" si="298"/>
        <v>400</v>
      </c>
      <c r="I1096" s="315"/>
      <c r="J1096" s="254">
        <v>10400</v>
      </c>
      <c r="K1096" s="316" t="s">
        <v>122</v>
      </c>
      <c r="L1096" s="291">
        <v>10000</v>
      </c>
    </row>
    <row r="1097" spans="1:12" ht="15.75" thickBot="1">
      <c r="A1097" s="246"/>
      <c r="B1097" s="247"/>
      <c r="C1097" s="255"/>
      <c r="D1097" s="242"/>
      <c r="E1097" s="256">
        <f>SUM(E1094:E1096)</f>
        <v>29600</v>
      </c>
      <c r="F1097" s="257"/>
      <c r="G1097" s="256">
        <f>SUM(G1094:G1096)</f>
        <v>5</v>
      </c>
      <c r="H1097" s="257">
        <f>SUM(H1094:H1096)</f>
        <v>1000</v>
      </c>
      <c r="I1097" s="257">
        <f>SUM(I1094:I1096)</f>
        <v>0</v>
      </c>
      <c r="J1097" s="257">
        <f>SUM(J1094:J1096)</f>
        <v>30000</v>
      </c>
      <c r="K1097" s="317"/>
      <c r="L1097" s="312">
        <f>SUM(L1094:L1096)</f>
        <v>29000</v>
      </c>
    </row>
    <row r="1098" spans="1:12">
      <c r="B1098" s="244"/>
      <c r="C1098" s="80"/>
      <c r="D1098" s="258"/>
      <c r="E1098" s="259">
        <f>SUM(E1083,E1090,E1092,E1097)</f>
        <v>232850</v>
      </c>
      <c r="F1098" s="260"/>
      <c r="G1098" s="259">
        <f>SUM(G1083,G1090,G1092,G1097)</f>
        <v>49</v>
      </c>
      <c r="H1098" s="259">
        <f>SUM(H1083,H1090,H1092,H1097)</f>
        <v>9800</v>
      </c>
      <c r="I1098" s="318">
        <f>SUM(I1083,I1090,I1092,I1097)</f>
        <v>0</v>
      </c>
      <c r="J1098" s="259">
        <f>SUM(J1083,J1090,J1092,J1097)</f>
        <v>242070</v>
      </c>
      <c r="K1098" s="319"/>
      <c r="L1098" s="291"/>
    </row>
    <row r="1099" spans="1:12">
      <c r="A1099" s="228" t="s">
        <v>123</v>
      </c>
      <c r="B1099" s="261"/>
      <c r="C1099" s="262"/>
      <c r="D1099" s="15"/>
      <c r="E1099" s="195"/>
      <c r="F1099" s="263" t="s">
        <v>124</v>
      </c>
      <c r="G1099" s="264"/>
      <c r="H1099" s="195"/>
      <c r="I1099" s="195"/>
      <c r="J1099" s="230"/>
      <c r="K1099" s="309"/>
      <c r="L1099" s="284"/>
    </row>
    <row r="1100" spans="1:12">
      <c r="A1100" s="176" t="s">
        <v>125</v>
      </c>
      <c r="B1100" s="199">
        <v>46002</v>
      </c>
      <c r="C1100" s="265" t="s">
        <v>126</v>
      </c>
      <c r="D1100" s="205" t="s">
        <v>1755</v>
      </c>
      <c r="E1100" s="202">
        <v>5000</v>
      </c>
      <c r="F1100" s="266">
        <v>325</v>
      </c>
      <c r="G1100" s="203">
        <v>2</v>
      </c>
      <c r="H1100" s="266">
        <f t="shared" ref="H1100:H1101" si="299">SUM(G1100*200)</f>
        <v>400</v>
      </c>
      <c r="I1100" s="202"/>
      <c r="J1100" s="282">
        <v>5400</v>
      </c>
      <c r="K1100" s="319" t="s">
        <v>128</v>
      </c>
      <c r="L1100" s="284">
        <v>5000</v>
      </c>
    </row>
    <row r="1101" spans="1:12">
      <c r="A1101" s="176" t="s">
        <v>129</v>
      </c>
      <c r="B1101" s="199">
        <v>46017</v>
      </c>
      <c r="C1101" s="265" t="s">
        <v>130</v>
      </c>
      <c r="D1101" s="205" t="s">
        <v>1756</v>
      </c>
      <c r="E1101" s="206">
        <v>5500</v>
      </c>
      <c r="F1101" s="195"/>
      <c r="G1101" s="203">
        <v>1</v>
      </c>
      <c r="H1101" s="266">
        <f t="shared" si="299"/>
        <v>200</v>
      </c>
      <c r="I1101" s="206"/>
      <c r="J1101" s="282">
        <f>SUM(E1101,H1101:I1101)</f>
        <v>5700</v>
      </c>
      <c r="K1101" s="319" t="s">
        <v>132</v>
      </c>
      <c r="L1101" s="291">
        <v>5500</v>
      </c>
    </row>
    <row r="1102" spans="1:12" ht="15.75" thickBot="1">
      <c r="A1102" s="267" t="s">
        <v>133</v>
      </c>
      <c r="B1102" s="268"/>
      <c r="C1102" s="269"/>
      <c r="D1102" s="242"/>
      <c r="E1102" s="270">
        <f>SUM(E1100:E1101)</f>
        <v>10500</v>
      </c>
      <c r="F1102" s="226">
        <f t="shared" ref="F1102:I1102" si="300">SUM(F1100:F1101)</f>
        <v>325</v>
      </c>
      <c r="G1102" s="243">
        <f t="shared" si="300"/>
        <v>3</v>
      </c>
      <c r="H1102" s="226">
        <f t="shared" si="300"/>
        <v>600</v>
      </c>
      <c r="I1102" s="320">
        <f t="shared" si="300"/>
        <v>0</v>
      </c>
      <c r="J1102" s="321">
        <f>SUM(F1102,H1102,I1102,)</f>
        <v>925</v>
      </c>
      <c r="K1102" s="322"/>
      <c r="L1102" s="322"/>
    </row>
    <row r="1103" spans="1:12">
      <c r="E1103" s="271" t="s">
        <v>134</v>
      </c>
      <c r="F1103" s="272">
        <f>SUM(F1098,F1102)</f>
        <v>325</v>
      </c>
      <c r="H1103" s="272">
        <f>SUM(H1098,H1102)</f>
        <v>10400</v>
      </c>
      <c r="I1103" s="324">
        <f>SUM(I1098,I1102)</f>
        <v>0</v>
      </c>
      <c r="J1103" s="325" t="s">
        <v>135</v>
      </c>
    </row>
    <row r="1104" spans="1:12">
      <c r="D1104" s="326">
        <f>SUM(E604,E648,E693,E738,E783,E828,E873,E918,E963,E1008,E1053,E1098)</f>
        <v>479100</v>
      </c>
      <c r="E1104" s="326">
        <f>SUM(E589,E633,E678,E729,E768,E813,E858,E903,E948,E993,E1038,E1083)</f>
        <v>317850</v>
      </c>
    </row>
    <row r="1108" spans="1:12">
      <c r="A1108" s="340" t="s">
        <v>1806</v>
      </c>
    </row>
    <row r="1109" spans="1:12" ht="18.75" thickBot="1">
      <c r="A1109" s="185" t="s">
        <v>8</v>
      </c>
      <c r="B1109" s="348" t="s">
        <v>1805</v>
      </c>
      <c r="C1109" s="187"/>
    </row>
    <row r="1110" spans="1:12">
      <c r="A1110" s="190" t="s">
        <v>10</v>
      </c>
      <c r="B1110" s="191">
        <v>46055</v>
      </c>
      <c r="C1110" s="7" t="s">
        <v>1838</v>
      </c>
      <c r="D1110" s="193" t="s">
        <v>1839</v>
      </c>
      <c r="E1110" s="194">
        <v>8000</v>
      </c>
      <c r="F1110" s="195">
        <f>SUM(E1110*0.5)</f>
        <v>4000</v>
      </c>
      <c r="G1110" s="196">
        <v>1</v>
      </c>
      <c r="H1110" s="197">
        <f t="shared" ref="H1110:H1112" si="301">SUM(G1110*200)</f>
        <v>200</v>
      </c>
      <c r="I1110" s="194"/>
      <c r="J1110" s="279">
        <v>8200</v>
      </c>
      <c r="K1110" s="280" t="s">
        <v>13</v>
      </c>
      <c r="L1110" s="281">
        <v>8000</v>
      </c>
    </row>
    <row r="1111" spans="1:12">
      <c r="A1111" s="198" t="s">
        <v>14</v>
      </c>
      <c r="B1111" s="199">
        <v>46051</v>
      </c>
      <c r="C1111" s="201" t="s">
        <v>1832</v>
      </c>
      <c r="D1111" s="201" t="s">
        <v>1833</v>
      </c>
      <c r="E1111" s="202">
        <v>8500</v>
      </c>
      <c r="F1111" s="195">
        <f>SUM(E1111*0.5)</f>
        <v>4250</v>
      </c>
      <c r="G1111" s="203">
        <v>3</v>
      </c>
      <c r="H1111" s="197">
        <f t="shared" si="301"/>
        <v>600</v>
      </c>
      <c r="I1111" s="206"/>
      <c r="J1111" s="282">
        <v>9100</v>
      </c>
      <c r="K1111" s="283" t="s">
        <v>314</v>
      </c>
      <c r="L1111" s="284">
        <v>8500</v>
      </c>
    </row>
    <row r="1112" spans="1:12">
      <c r="A1112" s="190" t="s">
        <v>18</v>
      </c>
      <c r="B1112" s="199">
        <v>46048</v>
      </c>
      <c r="C1112" s="14" t="s">
        <v>1824</v>
      </c>
      <c r="D1112" s="205" t="s">
        <v>1825</v>
      </c>
      <c r="E1112" s="202">
        <v>8000</v>
      </c>
      <c r="F1112" s="195">
        <f t="shared" ref="F1112:F1113" si="302">SUM(E1112*0.5)</f>
        <v>4000</v>
      </c>
      <c r="G1112" s="203">
        <v>1</v>
      </c>
      <c r="H1112" s="197">
        <f t="shared" si="301"/>
        <v>200</v>
      </c>
      <c r="I1112" s="206"/>
      <c r="J1112" s="282">
        <f>SUM(E1112,H1112:I1112)</f>
        <v>8200</v>
      </c>
      <c r="K1112" s="288" t="s">
        <v>21</v>
      </c>
      <c r="L1112" s="284">
        <v>8000</v>
      </c>
    </row>
    <row r="1113" spans="1:12" ht="25.5">
      <c r="A1113" s="190" t="s">
        <v>22</v>
      </c>
      <c r="B1113" s="199">
        <v>46037</v>
      </c>
      <c r="C1113" s="26" t="s">
        <v>1815</v>
      </c>
      <c r="D1113" s="205" t="s">
        <v>1816</v>
      </c>
      <c r="E1113" s="206">
        <v>7250</v>
      </c>
      <c r="F1113" s="195">
        <f t="shared" si="302"/>
        <v>3625</v>
      </c>
      <c r="G1113" s="203">
        <v>1</v>
      </c>
      <c r="H1113" s="197">
        <f t="shared" ref="H1113" si="303">SUM(G1113*200)</f>
        <v>200</v>
      </c>
      <c r="I1113" s="206"/>
      <c r="J1113" s="282">
        <v>7450</v>
      </c>
      <c r="K1113" s="290" t="s">
        <v>25</v>
      </c>
      <c r="L1113" s="291">
        <v>5000</v>
      </c>
    </row>
    <row r="1114" spans="1:12">
      <c r="A1114" s="190" t="s">
        <v>26</v>
      </c>
      <c r="B1114" s="199">
        <v>46040</v>
      </c>
      <c r="C1114" s="208" t="s">
        <v>1819</v>
      </c>
      <c r="D1114" s="205" t="s">
        <v>1820</v>
      </c>
      <c r="E1114" s="206">
        <v>6000</v>
      </c>
      <c r="F1114" s="195">
        <f t="shared" ref="F1114" si="304">SUM(E1114*0.5)</f>
        <v>3000</v>
      </c>
      <c r="G1114" s="203">
        <v>1</v>
      </c>
      <c r="H1114" s="197">
        <f t="shared" ref="H1114" si="305">SUM(G1114*200)</f>
        <v>200</v>
      </c>
      <c r="I1114" s="206"/>
      <c r="J1114" s="282">
        <v>6200</v>
      </c>
      <c r="K1114" s="288" t="s">
        <v>1608</v>
      </c>
      <c r="L1114" s="291">
        <v>6000</v>
      </c>
    </row>
    <row r="1115" spans="1:12">
      <c r="A1115" s="190" t="s">
        <v>30</v>
      </c>
      <c r="B1115" s="199">
        <v>46056</v>
      </c>
      <c r="C1115" s="363" t="s">
        <v>1840</v>
      </c>
      <c r="D1115" s="205" t="s">
        <v>1837</v>
      </c>
      <c r="E1115" s="209">
        <v>6500</v>
      </c>
      <c r="F1115" s="195">
        <v>3250</v>
      </c>
      <c r="G1115" s="210">
        <v>3</v>
      </c>
      <c r="H1115" s="197">
        <v>600</v>
      </c>
      <c r="I1115" s="209"/>
      <c r="J1115" s="254">
        <v>7100</v>
      </c>
      <c r="K1115" s="294" t="s">
        <v>1344</v>
      </c>
      <c r="L1115" s="287">
        <v>6500</v>
      </c>
    </row>
    <row r="1116" spans="1:12">
      <c r="A1116" s="190" t="s">
        <v>33</v>
      </c>
      <c r="B1116" s="199">
        <v>46049</v>
      </c>
      <c r="C1116" s="14" t="s">
        <v>1828</v>
      </c>
      <c r="D1116" s="205" t="s">
        <v>1823</v>
      </c>
      <c r="E1116" s="202">
        <v>6000</v>
      </c>
      <c r="F1116" s="195">
        <f t="shared" ref="F1116" si="306">SUM(E1116*0.5)</f>
        <v>3000</v>
      </c>
      <c r="G1116" s="210">
        <v>1</v>
      </c>
      <c r="H1116" s="197">
        <f t="shared" ref="H1116" si="307">SUM(G1116*200)</f>
        <v>200</v>
      </c>
      <c r="I1116" s="202"/>
      <c r="J1116" s="197">
        <v>6200</v>
      </c>
      <c r="K1116" s="288" t="s">
        <v>17</v>
      </c>
      <c r="L1116" s="284">
        <v>6000</v>
      </c>
    </row>
    <row r="1117" spans="1:12">
      <c r="A1117" s="190" t="s">
        <v>35</v>
      </c>
      <c r="B1117" s="199">
        <v>46038</v>
      </c>
      <c r="C1117" s="211" t="s">
        <v>1817</v>
      </c>
      <c r="D1117" s="177" t="s">
        <v>1818</v>
      </c>
      <c r="E1117" s="212">
        <v>6500</v>
      </c>
      <c r="F1117" s="195">
        <v>3250</v>
      </c>
      <c r="G1117" s="210">
        <v>1</v>
      </c>
      <c r="H1117" s="197">
        <v>200</v>
      </c>
      <c r="I1117" s="206"/>
      <c r="J1117" s="282">
        <v>6700</v>
      </c>
      <c r="K1117" s="295" t="s">
        <v>1717</v>
      </c>
      <c r="L1117" s="284">
        <v>6500</v>
      </c>
    </row>
    <row r="1118" spans="1:12">
      <c r="A1118" s="213" t="s">
        <v>39</v>
      </c>
      <c r="B1118" s="199">
        <v>46051</v>
      </c>
      <c r="C1118" s="14" t="s">
        <v>1831</v>
      </c>
      <c r="D1118" s="205" t="s">
        <v>1814</v>
      </c>
      <c r="E1118" s="202">
        <v>8000</v>
      </c>
      <c r="F1118" s="195">
        <f t="shared" ref="F1118" si="308">SUM(E1118*0.5)</f>
        <v>4000</v>
      </c>
      <c r="G1118" s="203">
        <v>1</v>
      </c>
      <c r="H1118" s="197">
        <f t="shared" ref="H1118" si="309">SUM(G1118*200)</f>
        <v>200</v>
      </c>
      <c r="I1118" s="202"/>
      <c r="J1118" s="282">
        <v>8200</v>
      </c>
      <c r="K1118" s="288" t="s">
        <v>42</v>
      </c>
      <c r="L1118" s="284">
        <v>8000</v>
      </c>
    </row>
    <row r="1119" spans="1:12">
      <c r="A1119" s="213" t="s">
        <v>43</v>
      </c>
      <c r="B1119" s="199">
        <v>46035</v>
      </c>
      <c r="C1119" s="204" t="s">
        <v>1807</v>
      </c>
      <c r="D1119" s="14" t="s">
        <v>1808</v>
      </c>
      <c r="E1119" s="202">
        <v>8500</v>
      </c>
      <c r="F1119" s="195">
        <v>4250</v>
      </c>
      <c r="G1119" s="203">
        <v>2</v>
      </c>
      <c r="H1119" s="197">
        <v>400</v>
      </c>
      <c r="I1119" s="206"/>
      <c r="J1119" s="282">
        <v>8900</v>
      </c>
      <c r="K1119" s="288" t="s">
        <v>1599</v>
      </c>
      <c r="L1119" s="284">
        <v>8500</v>
      </c>
    </row>
    <row r="1120" spans="1:12">
      <c r="A1120" s="213" t="s">
        <v>47</v>
      </c>
      <c r="B1120" s="199">
        <v>46057</v>
      </c>
      <c r="C1120" s="204" t="s">
        <v>1841</v>
      </c>
      <c r="D1120" s="205" t="s">
        <v>1837</v>
      </c>
      <c r="E1120" s="202">
        <v>8000</v>
      </c>
      <c r="F1120" s="195">
        <f t="shared" ref="F1120:F1129" si="310">SUM(E1120*0.5)</f>
        <v>4000</v>
      </c>
      <c r="G1120" s="203">
        <v>1</v>
      </c>
      <c r="H1120" s="197">
        <f t="shared" ref="H1120:H1129" si="311">SUM(G1120*200)</f>
        <v>200</v>
      </c>
      <c r="I1120" s="202"/>
      <c r="J1120" s="282">
        <v>8200</v>
      </c>
      <c r="K1120" s="288" t="s">
        <v>50</v>
      </c>
      <c r="L1120" s="291">
        <v>8000</v>
      </c>
    </row>
    <row r="1121" spans="1:12">
      <c r="A1121" s="213" t="s">
        <v>51</v>
      </c>
      <c r="B1121" s="199">
        <v>46048</v>
      </c>
      <c r="C1121" s="204" t="s">
        <v>1822</v>
      </c>
      <c r="D1121" s="205" t="s">
        <v>1823</v>
      </c>
      <c r="E1121" s="212">
        <v>8500</v>
      </c>
      <c r="F1121" s="195">
        <f t="shared" si="310"/>
        <v>4250</v>
      </c>
      <c r="G1121" s="210">
        <v>2</v>
      </c>
      <c r="H1121" s="197">
        <f t="shared" si="311"/>
        <v>400</v>
      </c>
      <c r="I1121" s="212"/>
      <c r="J1121" s="282">
        <v>8920</v>
      </c>
      <c r="K1121" s="295" t="s">
        <v>577</v>
      </c>
      <c r="L1121" s="284">
        <v>8500</v>
      </c>
    </row>
    <row r="1122" spans="1:12">
      <c r="A1122" s="213" t="s">
        <v>55</v>
      </c>
      <c r="B1122" s="199">
        <v>46055</v>
      </c>
      <c r="C1122" s="204" t="s">
        <v>1836</v>
      </c>
      <c r="D1122" s="205" t="s">
        <v>1837</v>
      </c>
      <c r="E1122" s="202">
        <v>7500</v>
      </c>
      <c r="F1122" s="195">
        <f t="shared" si="310"/>
        <v>3750</v>
      </c>
      <c r="G1122" s="203">
        <v>2</v>
      </c>
      <c r="H1122" s="197">
        <f t="shared" si="311"/>
        <v>400</v>
      </c>
      <c r="I1122" s="206"/>
      <c r="J1122" s="282">
        <v>7900</v>
      </c>
      <c r="K1122" s="288" t="s">
        <v>57</v>
      </c>
      <c r="L1122" s="284">
        <v>7500</v>
      </c>
    </row>
    <row r="1123" spans="1:12">
      <c r="A1123" s="213"/>
      <c r="B1123" s="199">
        <v>46053</v>
      </c>
      <c r="C1123" s="204" t="s">
        <v>1835</v>
      </c>
      <c r="D1123" s="205" t="s">
        <v>1816</v>
      </c>
      <c r="E1123" s="202">
        <v>6500</v>
      </c>
      <c r="F1123" s="195">
        <f t="shared" si="310"/>
        <v>3250</v>
      </c>
      <c r="G1123" s="203">
        <v>1</v>
      </c>
      <c r="H1123" s="197">
        <f t="shared" si="311"/>
        <v>200</v>
      </c>
      <c r="I1123" s="206"/>
      <c r="J1123" s="254">
        <v>6700</v>
      </c>
      <c r="K1123" s="296" t="s">
        <v>378</v>
      </c>
      <c r="L1123" s="284">
        <v>6500</v>
      </c>
    </row>
    <row r="1124" spans="1:12">
      <c r="A1124" s="213" t="s">
        <v>60</v>
      </c>
      <c r="B1124" s="199">
        <v>46046</v>
      </c>
      <c r="C1124" s="14" t="s">
        <v>1821</v>
      </c>
      <c r="D1124" s="205" t="s">
        <v>1820</v>
      </c>
      <c r="E1124" s="202">
        <v>6500</v>
      </c>
      <c r="F1124" s="195">
        <f t="shared" si="310"/>
        <v>3250</v>
      </c>
      <c r="G1124" s="203">
        <v>1</v>
      </c>
      <c r="H1124" s="197">
        <f t="shared" si="311"/>
        <v>200</v>
      </c>
      <c r="I1124" s="206"/>
      <c r="J1124" s="254">
        <v>6700</v>
      </c>
      <c r="K1124" s="295" t="s">
        <v>1725</v>
      </c>
      <c r="L1124" s="284">
        <v>6500</v>
      </c>
    </row>
    <row r="1125" spans="1:12">
      <c r="A1125" s="214" t="s">
        <v>63</v>
      </c>
      <c r="B1125" s="199">
        <v>46058</v>
      </c>
      <c r="C1125" s="204" t="s">
        <v>1842</v>
      </c>
      <c r="D1125" s="205" t="s">
        <v>1843</v>
      </c>
      <c r="E1125" s="206">
        <v>9000</v>
      </c>
      <c r="F1125" s="195">
        <f t="shared" si="310"/>
        <v>4500</v>
      </c>
      <c r="G1125" s="203">
        <v>2</v>
      </c>
      <c r="H1125" s="197">
        <f t="shared" si="311"/>
        <v>400</v>
      </c>
      <c r="I1125" s="206"/>
      <c r="J1125" s="282">
        <v>9400</v>
      </c>
      <c r="K1125" s="288" t="s">
        <v>584</v>
      </c>
      <c r="L1125" s="291">
        <v>9000</v>
      </c>
    </row>
    <row r="1126" spans="1:12">
      <c r="A1126" s="214" t="s">
        <v>67</v>
      </c>
      <c r="B1126" s="199">
        <v>46050</v>
      </c>
      <c r="C1126" s="14" t="s">
        <v>1830</v>
      </c>
      <c r="D1126" s="205" t="s">
        <v>1825</v>
      </c>
      <c r="E1126" s="206">
        <v>8500</v>
      </c>
      <c r="F1126" s="195">
        <f t="shared" si="310"/>
        <v>4250</v>
      </c>
      <c r="G1126" s="203">
        <v>2</v>
      </c>
      <c r="H1126" s="197">
        <f t="shared" si="311"/>
        <v>400</v>
      </c>
      <c r="I1126" s="206"/>
      <c r="J1126" s="282">
        <v>8900</v>
      </c>
      <c r="K1126" s="295" t="s">
        <v>1074</v>
      </c>
      <c r="L1126" s="284">
        <v>8500</v>
      </c>
    </row>
    <row r="1127" spans="1:12">
      <c r="A1127" s="214" t="s">
        <v>71</v>
      </c>
      <c r="B1127" s="199">
        <v>46052</v>
      </c>
      <c r="C1127" s="204" t="s">
        <v>1834</v>
      </c>
      <c r="D1127" s="205" t="s">
        <v>1827</v>
      </c>
      <c r="E1127" s="206">
        <v>8500</v>
      </c>
      <c r="F1127" s="195">
        <f t="shared" si="310"/>
        <v>4250</v>
      </c>
      <c r="G1127" s="203">
        <v>2</v>
      </c>
      <c r="H1127" s="197">
        <f t="shared" si="311"/>
        <v>400</v>
      </c>
      <c r="I1127" s="206"/>
      <c r="J1127" s="282">
        <v>8900</v>
      </c>
      <c r="K1127" s="288" t="s">
        <v>383</v>
      </c>
      <c r="L1127" s="291">
        <v>8500</v>
      </c>
    </row>
    <row r="1128" spans="1:12">
      <c r="A1128" s="214" t="s">
        <v>74</v>
      </c>
      <c r="B1128" s="199">
        <v>46049</v>
      </c>
      <c r="C1128" s="14" t="s">
        <v>1826</v>
      </c>
      <c r="D1128" s="205" t="s">
        <v>1827</v>
      </c>
      <c r="E1128" s="206">
        <v>8500</v>
      </c>
      <c r="F1128" s="195">
        <f t="shared" si="310"/>
        <v>4250</v>
      </c>
      <c r="G1128" s="203">
        <v>2</v>
      </c>
      <c r="H1128" s="197">
        <f t="shared" si="311"/>
        <v>400</v>
      </c>
      <c r="I1128" s="206"/>
      <c r="J1128" s="282">
        <v>8900</v>
      </c>
      <c r="K1128" s="288" t="s">
        <v>1608</v>
      </c>
      <c r="L1128" s="291">
        <v>8500</v>
      </c>
    </row>
    <row r="1129" spans="1:12">
      <c r="A1129" s="214" t="s">
        <v>77</v>
      </c>
      <c r="B1129" s="199">
        <v>46037</v>
      </c>
      <c r="C1129" s="208" t="s">
        <v>1813</v>
      </c>
      <c r="D1129" s="205" t="s">
        <v>1814</v>
      </c>
      <c r="E1129" s="206">
        <v>8000</v>
      </c>
      <c r="F1129" s="195">
        <f t="shared" si="310"/>
        <v>4000</v>
      </c>
      <c r="G1129" s="203">
        <v>2</v>
      </c>
      <c r="H1129" s="197">
        <f t="shared" si="311"/>
        <v>400</v>
      </c>
      <c r="I1129" s="206"/>
      <c r="J1129" s="282">
        <v>8400</v>
      </c>
      <c r="K1129" s="288" t="s">
        <v>340</v>
      </c>
      <c r="L1129" s="291">
        <v>8000</v>
      </c>
    </row>
    <row r="1130" spans="1:12">
      <c r="A1130" s="214" t="s">
        <v>81</v>
      </c>
      <c r="B1130" s="199"/>
      <c r="C1130" s="208" t="s">
        <v>162</v>
      </c>
      <c r="D1130" s="177"/>
      <c r="E1130" s="209"/>
      <c r="F1130" s="195"/>
      <c r="G1130" s="210"/>
      <c r="H1130" s="197"/>
      <c r="I1130" s="206"/>
      <c r="J1130" s="282"/>
      <c r="K1130" s="295"/>
      <c r="L1130" s="291"/>
    </row>
    <row r="1131" spans="1:12">
      <c r="A1131" s="215" t="s">
        <v>84</v>
      </c>
      <c r="B1131" s="216">
        <v>46050</v>
      </c>
      <c r="C1131" s="208" t="s">
        <v>1829</v>
      </c>
      <c r="D1131" s="208" t="s">
        <v>1825</v>
      </c>
      <c r="E1131" s="209">
        <v>6500</v>
      </c>
      <c r="F1131" s="195">
        <f t="shared" ref="F1131" si="312">SUM(E1131*0.5)</f>
        <v>3250</v>
      </c>
      <c r="G1131" s="210">
        <v>2</v>
      </c>
      <c r="H1131" s="197">
        <v>400</v>
      </c>
      <c r="I1131" s="209"/>
      <c r="J1131" s="254">
        <v>6900</v>
      </c>
      <c r="K1131" s="24" t="s">
        <v>1300</v>
      </c>
      <c r="L1131" s="287">
        <v>6000</v>
      </c>
    </row>
    <row r="1132" spans="1:12" ht="15.75" thickBot="1">
      <c r="A1132" s="221"/>
      <c r="B1132" s="222"/>
      <c r="C1132" s="223"/>
      <c r="D1132" s="224"/>
      <c r="E1132" s="225">
        <f>SUM(E1110:E1131)</f>
        <v>159250</v>
      </c>
      <c r="F1132" s="226">
        <f>SUM(F1110:F1131)</f>
        <v>79625</v>
      </c>
      <c r="G1132" s="225">
        <f t="shared" ref="G1132:J1132" si="313">SUM(G1110:G1131)</f>
        <v>34</v>
      </c>
      <c r="H1132" s="227">
        <f t="shared" si="313"/>
        <v>6800</v>
      </c>
      <c r="I1132" s="225">
        <f t="shared" si="313"/>
        <v>0</v>
      </c>
      <c r="J1132" s="227">
        <f t="shared" si="313"/>
        <v>166070</v>
      </c>
      <c r="K1132" s="306"/>
      <c r="L1132" s="307">
        <f>SUM(L1110:L1131)</f>
        <v>156500</v>
      </c>
    </row>
    <row r="1133" spans="1:12">
      <c r="A1133" s="228" t="s">
        <v>88</v>
      </c>
      <c r="B1133" s="229"/>
      <c r="C1133" s="230"/>
      <c r="D1133" s="205"/>
      <c r="E1133" s="195"/>
      <c r="F1133" s="195"/>
      <c r="G1133" s="231"/>
      <c r="H1133" s="195"/>
      <c r="I1133" s="195"/>
      <c r="J1133" s="230"/>
      <c r="K1133" s="309"/>
      <c r="L1133" s="291"/>
    </row>
    <row r="1134" spans="1:12">
      <c r="A1134" s="176" t="s">
        <v>89</v>
      </c>
      <c r="B1134" s="199">
        <v>46035</v>
      </c>
      <c r="C1134" s="204" t="s">
        <v>90</v>
      </c>
      <c r="D1134" s="205" t="s">
        <v>931</v>
      </c>
      <c r="E1134" s="206">
        <v>10000</v>
      </c>
      <c r="F1134" s="195"/>
      <c r="G1134" s="232">
        <v>2</v>
      </c>
      <c r="H1134" s="197">
        <f t="shared" ref="H1134:H1136" si="314">SUM(G1134*200)</f>
        <v>400</v>
      </c>
      <c r="I1134" s="206"/>
      <c r="J1134" s="282">
        <v>10400</v>
      </c>
      <c r="K1134" s="288" t="s">
        <v>92</v>
      </c>
      <c r="L1134" s="291">
        <v>10000</v>
      </c>
    </row>
    <row r="1135" spans="1:12">
      <c r="A1135" s="176" t="s">
        <v>93</v>
      </c>
      <c r="B1135" s="199">
        <v>46057</v>
      </c>
      <c r="C1135" s="207" t="s">
        <v>94</v>
      </c>
      <c r="D1135" s="177" t="s">
        <v>1848</v>
      </c>
      <c r="E1135" s="212">
        <v>10000</v>
      </c>
      <c r="F1135" s="233"/>
      <c r="G1135" s="210">
        <v>2</v>
      </c>
      <c r="H1135" s="197">
        <f t="shared" si="314"/>
        <v>400</v>
      </c>
      <c r="I1135" s="202"/>
      <c r="J1135" s="282">
        <v>10400</v>
      </c>
      <c r="K1135" s="310" t="s">
        <v>96</v>
      </c>
      <c r="L1135" s="284">
        <v>6000</v>
      </c>
    </row>
    <row r="1136" spans="1:12">
      <c r="A1136" s="176" t="s">
        <v>97</v>
      </c>
      <c r="B1136" s="199">
        <v>46037</v>
      </c>
      <c r="C1136" s="204" t="s">
        <v>98</v>
      </c>
      <c r="D1136" s="205" t="s">
        <v>1844</v>
      </c>
      <c r="E1136" s="234">
        <v>12000</v>
      </c>
      <c r="F1136" s="235"/>
      <c r="G1136" s="232">
        <v>2</v>
      </c>
      <c r="H1136" s="197">
        <f t="shared" si="314"/>
        <v>400</v>
      </c>
      <c r="I1136" s="206"/>
      <c r="J1136" s="282">
        <v>12400</v>
      </c>
      <c r="K1136" s="288" t="s">
        <v>99</v>
      </c>
      <c r="L1136" s="291">
        <v>12000</v>
      </c>
    </row>
    <row r="1137" spans="1:12">
      <c r="A1137" s="176" t="s">
        <v>100</v>
      </c>
      <c r="B1137" s="199">
        <v>46056</v>
      </c>
      <c r="C1137" s="236" t="s">
        <v>1619</v>
      </c>
      <c r="D1137" s="205" t="s">
        <v>1823</v>
      </c>
      <c r="E1137" s="212">
        <v>12000</v>
      </c>
      <c r="F1137" s="195"/>
      <c r="G1137" s="210">
        <v>4</v>
      </c>
      <c r="H1137" s="197">
        <f t="shared" ref="H1137:H1138" si="315">SUM(G1137*200)</f>
        <v>800</v>
      </c>
      <c r="I1137" s="212"/>
      <c r="J1137" s="282">
        <v>12800</v>
      </c>
      <c r="K1137" s="295" t="s">
        <v>1620</v>
      </c>
      <c r="L1137" s="284">
        <v>12000</v>
      </c>
    </row>
    <row r="1138" spans="1:12">
      <c r="A1138" s="176" t="s">
        <v>104</v>
      </c>
      <c r="B1138" s="339">
        <v>46057</v>
      </c>
      <c r="C1138" s="237" t="s">
        <v>1575</v>
      </c>
      <c r="D1138" s="205" t="s">
        <v>1827</v>
      </c>
      <c r="E1138" s="206">
        <v>12000</v>
      </c>
      <c r="F1138" s="195"/>
      <c r="G1138" s="238">
        <v>4</v>
      </c>
      <c r="H1138" s="197">
        <f t="shared" si="315"/>
        <v>800</v>
      </c>
      <c r="I1138" s="219"/>
      <c r="J1138" s="282">
        <v>12800</v>
      </c>
      <c r="K1138" s="311" t="s">
        <v>107</v>
      </c>
      <c r="L1138" s="291">
        <v>12000</v>
      </c>
    </row>
    <row r="1139" spans="1:12" ht="15.75" thickBot="1">
      <c r="A1139" s="239"/>
      <c r="B1139" s="240"/>
      <c r="C1139" s="241" t="s">
        <v>108</v>
      </c>
      <c r="D1139" s="242"/>
      <c r="E1139" s="243">
        <f>SUM(E1134:E1137)</f>
        <v>44000</v>
      </c>
      <c r="F1139" s="226"/>
      <c r="G1139" s="226">
        <f>SUM(G1134:G1137)</f>
        <v>10</v>
      </c>
      <c r="H1139" s="226">
        <f>SUM(H1134:H1137)</f>
        <v>2000</v>
      </c>
      <c r="I1139" s="243">
        <f>SUM(I1134:I1137)</f>
        <v>0</v>
      </c>
      <c r="J1139" s="226">
        <f>SUM(J1134:J1137)</f>
        <v>46000</v>
      </c>
      <c r="K1139" s="306"/>
      <c r="L1139" s="312">
        <f>SUM(L1134:L1138)</f>
        <v>52000</v>
      </c>
    </row>
    <row r="1140" spans="1:12">
      <c r="A1140" s="228" t="s">
        <v>109</v>
      </c>
      <c r="B1140" s="244"/>
      <c r="C1140" s="245"/>
      <c r="D1140" s="205"/>
      <c r="E1140" s="195"/>
      <c r="F1140" s="195"/>
      <c r="G1140" s="231"/>
      <c r="H1140" s="195"/>
      <c r="I1140" s="195"/>
      <c r="J1140" s="195"/>
      <c r="K1140" s="309"/>
      <c r="L1140" s="313"/>
    </row>
    <row r="1141" spans="1:12" ht="15.75" thickBot="1">
      <c r="A1141" s="246" t="s">
        <v>110</v>
      </c>
      <c r="B1141" s="247"/>
      <c r="C1141" s="248" t="s">
        <v>111</v>
      </c>
      <c r="D1141" s="242"/>
      <c r="E1141" s="243"/>
      <c r="F1141" s="226"/>
      <c r="G1141" s="249"/>
      <c r="H1141" s="226"/>
      <c r="I1141" s="243"/>
      <c r="J1141" s="226"/>
      <c r="K1141" s="306"/>
      <c r="L1141" s="312"/>
    </row>
    <row r="1142" spans="1:12">
      <c r="A1142" s="228" t="s">
        <v>112</v>
      </c>
      <c r="B1142" s="250"/>
      <c r="C1142" s="245"/>
      <c r="D1142" s="205"/>
      <c r="E1142" s="195"/>
      <c r="F1142" s="195"/>
      <c r="G1142" s="231"/>
      <c r="H1142" s="195"/>
      <c r="I1142" s="195"/>
      <c r="J1142" s="195"/>
      <c r="K1142" s="309"/>
      <c r="L1142" s="313"/>
    </row>
    <row r="1143" spans="1:12">
      <c r="A1143" s="176" t="s">
        <v>113</v>
      </c>
      <c r="B1143" s="199">
        <v>45880</v>
      </c>
      <c r="C1143" s="251" t="s">
        <v>114</v>
      </c>
      <c r="D1143" s="177" t="s">
        <v>1814</v>
      </c>
      <c r="E1143" s="206">
        <v>12600</v>
      </c>
      <c r="F1143" s="230"/>
      <c r="G1143" s="209">
        <v>2</v>
      </c>
      <c r="H1143" s="197">
        <f t="shared" ref="H1143:H1145" si="316">SUM(G1143*200)</f>
        <v>400</v>
      </c>
      <c r="I1143" s="314"/>
      <c r="J1143" s="282">
        <v>12400</v>
      </c>
      <c r="K1143" s="295" t="s">
        <v>115</v>
      </c>
      <c r="L1143" s="291">
        <v>12000</v>
      </c>
    </row>
    <row r="1144" spans="1:12">
      <c r="A1144" s="176" t="s">
        <v>116</v>
      </c>
      <c r="B1144" s="199">
        <v>46025</v>
      </c>
      <c r="C1144" s="252" t="s">
        <v>117</v>
      </c>
      <c r="D1144" s="205" t="s">
        <v>1845</v>
      </c>
      <c r="E1144" s="206">
        <v>7000</v>
      </c>
      <c r="F1144" s="195"/>
      <c r="G1144" s="209">
        <v>1</v>
      </c>
      <c r="H1144" s="197">
        <f t="shared" si="316"/>
        <v>200</v>
      </c>
      <c r="I1144" s="314"/>
      <c r="J1144" s="282">
        <v>7200</v>
      </c>
      <c r="K1144" s="288" t="s">
        <v>119</v>
      </c>
      <c r="L1144" s="291">
        <v>7000</v>
      </c>
    </row>
    <row r="1145" spans="1:12">
      <c r="A1145" s="176" t="s">
        <v>120</v>
      </c>
      <c r="B1145" s="199">
        <v>46051</v>
      </c>
      <c r="C1145" s="253" t="s">
        <v>121</v>
      </c>
      <c r="D1145" s="177" t="s">
        <v>1823</v>
      </c>
      <c r="E1145" s="209">
        <v>10000</v>
      </c>
      <c r="F1145" s="254"/>
      <c r="G1145" s="209">
        <v>2</v>
      </c>
      <c r="H1145" s="197">
        <f t="shared" si="316"/>
        <v>400</v>
      </c>
      <c r="I1145" s="315"/>
      <c r="J1145" s="254">
        <v>10400</v>
      </c>
      <c r="K1145" s="316" t="s">
        <v>122</v>
      </c>
      <c r="L1145" s="291">
        <v>10000</v>
      </c>
    </row>
    <row r="1146" spans="1:12" ht="15.75" thickBot="1">
      <c r="A1146" s="246"/>
      <c r="B1146" s="247"/>
      <c r="C1146" s="255"/>
      <c r="D1146" s="242"/>
      <c r="E1146" s="256">
        <f>SUM(E1143:E1145)</f>
        <v>29600</v>
      </c>
      <c r="F1146" s="257"/>
      <c r="G1146" s="256">
        <f>SUM(G1143:G1145)</f>
        <v>5</v>
      </c>
      <c r="H1146" s="257">
        <f>SUM(H1143:H1145)</f>
        <v>1000</v>
      </c>
      <c r="I1146" s="257">
        <f>SUM(I1143:I1145)</f>
        <v>0</v>
      </c>
      <c r="J1146" s="257">
        <f>SUM(J1143:J1145)</f>
        <v>30000</v>
      </c>
      <c r="K1146" s="317"/>
      <c r="L1146" s="312">
        <f>SUM(L1143:L1145)</f>
        <v>29000</v>
      </c>
    </row>
    <row r="1147" spans="1:12">
      <c r="B1147" s="244"/>
      <c r="C1147" s="80"/>
      <c r="D1147" s="258"/>
      <c r="E1147" s="259">
        <f>SUM(E1132,E1139,E1141,E1146)</f>
        <v>232850</v>
      </c>
      <c r="F1147" s="260"/>
      <c r="G1147" s="259">
        <f>SUM(G1132,G1139,G1141,G1146)</f>
        <v>49</v>
      </c>
      <c r="H1147" s="259">
        <f>SUM(H1132,H1139,H1141,H1146)</f>
        <v>9800</v>
      </c>
      <c r="I1147" s="318">
        <f>SUM(I1132,I1139,I1141,I1146)</f>
        <v>0</v>
      </c>
      <c r="J1147" s="259">
        <f>SUM(J1132,J1139,J1141,J1146)</f>
        <v>242070</v>
      </c>
      <c r="K1147" s="319"/>
      <c r="L1147" s="291"/>
    </row>
    <row r="1148" spans="1:12">
      <c r="A1148" s="228" t="s">
        <v>123</v>
      </c>
      <c r="B1148" s="261"/>
      <c r="C1148" s="262"/>
      <c r="D1148" s="15"/>
      <c r="E1148" s="195"/>
      <c r="F1148" s="263" t="s">
        <v>124</v>
      </c>
      <c r="G1148" s="264"/>
      <c r="H1148" s="195"/>
      <c r="I1148" s="195"/>
      <c r="J1148" s="230"/>
      <c r="K1148" s="309"/>
      <c r="L1148" s="284"/>
    </row>
    <row r="1149" spans="1:12">
      <c r="A1149" s="176" t="s">
        <v>125</v>
      </c>
      <c r="B1149" s="199">
        <v>46056</v>
      </c>
      <c r="C1149" s="265" t="s">
        <v>126</v>
      </c>
      <c r="D1149" s="205" t="s">
        <v>1846</v>
      </c>
      <c r="E1149" s="202">
        <v>5000</v>
      </c>
      <c r="F1149" s="266">
        <v>325</v>
      </c>
      <c r="G1149" s="203">
        <v>2</v>
      </c>
      <c r="H1149" s="266">
        <f t="shared" ref="H1149:H1150" si="317">SUM(G1149*200)</f>
        <v>400</v>
      </c>
      <c r="I1149" s="202"/>
      <c r="J1149" s="282">
        <v>5400</v>
      </c>
      <c r="K1149" s="319" t="s">
        <v>128</v>
      </c>
      <c r="L1149" s="284">
        <v>5000</v>
      </c>
    </row>
    <row r="1150" spans="1:12">
      <c r="A1150" s="176" t="s">
        <v>129</v>
      </c>
      <c r="B1150" s="199">
        <v>46048</v>
      </c>
      <c r="C1150" s="265" t="s">
        <v>130</v>
      </c>
      <c r="D1150" s="205" t="s">
        <v>1847</v>
      </c>
      <c r="E1150" s="206">
        <v>5500</v>
      </c>
      <c r="F1150" s="195"/>
      <c r="G1150" s="203">
        <v>1</v>
      </c>
      <c r="H1150" s="266">
        <f t="shared" si="317"/>
        <v>200</v>
      </c>
      <c r="I1150" s="206"/>
      <c r="J1150" s="282">
        <f>SUM(E1150,H1150:I1150)</f>
        <v>5700</v>
      </c>
      <c r="K1150" s="319" t="s">
        <v>132</v>
      </c>
      <c r="L1150" s="291">
        <v>5500</v>
      </c>
    </row>
    <row r="1151" spans="1:12" ht="15.75" thickBot="1">
      <c r="A1151" s="267" t="s">
        <v>133</v>
      </c>
      <c r="B1151" s="268"/>
      <c r="C1151" s="269"/>
      <c r="D1151" s="242"/>
      <c r="E1151" s="270">
        <f>SUM(E1149:E1150)</f>
        <v>10500</v>
      </c>
      <c r="F1151" s="226">
        <f t="shared" ref="F1151:I1151" si="318">SUM(F1149:F1150)</f>
        <v>325</v>
      </c>
      <c r="G1151" s="243">
        <f t="shared" si="318"/>
        <v>3</v>
      </c>
      <c r="H1151" s="226">
        <f t="shared" si="318"/>
        <v>600</v>
      </c>
      <c r="I1151" s="320">
        <f t="shared" si="318"/>
        <v>0</v>
      </c>
      <c r="J1151" s="321">
        <f>SUM(F1151,H1151,I1151,)</f>
        <v>925</v>
      </c>
      <c r="K1151" s="322"/>
      <c r="L1151" s="322"/>
    </row>
    <row r="1152" spans="1:12">
      <c r="E1152" s="271" t="s">
        <v>134</v>
      </c>
      <c r="F1152" s="272">
        <f>SUM(F1147,F1151)</f>
        <v>325</v>
      </c>
      <c r="H1152" s="272">
        <f>SUM(H1147,H1151)</f>
        <v>10400</v>
      </c>
      <c r="I1152" s="324">
        <f>SUM(I1147,I1151)</f>
        <v>0</v>
      </c>
      <c r="J1152" s="325" t="s">
        <v>135</v>
      </c>
    </row>
    <row r="1153" spans="1:12">
      <c r="D1153" s="326">
        <f>SUM(E653,E697,E742,E787,E832,E877,E922,E967,E1012,E1057,E1102,E1147)</f>
        <v>296350</v>
      </c>
      <c r="E1153" s="326">
        <f>SUM(E638,E682,E727,E778,E817,E862,E907,E952,E997,E1042,E1087,E1132)</f>
        <v>286050</v>
      </c>
    </row>
    <row r="1155" spans="1:12">
      <c r="A1155" s="340" t="s">
        <v>1806</v>
      </c>
    </row>
    <row r="1156" spans="1:12" ht="18.75" thickBot="1">
      <c r="A1156" s="185" t="s">
        <v>8</v>
      </c>
      <c r="B1156" s="348" t="s">
        <v>1884</v>
      </c>
      <c r="C1156" s="187"/>
    </row>
    <row r="1157" spans="1:12">
      <c r="A1157" s="190" t="s">
        <v>10</v>
      </c>
      <c r="B1157" s="191">
        <v>46082</v>
      </c>
      <c r="C1157" s="7" t="s">
        <v>1917</v>
      </c>
      <c r="D1157" s="193" t="s">
        <v>1916</v>
      </c>
      <c r="E1157" s="194">
        <v>8000</v>
      </c>
      <c r="F1157" s="195">
        <f>SUM(E1157*0.5)</f>
        <v>4000</v>
      </c>
      <c r="G1157" s="196">
        <v>1</v>
      </c>
      <c r="H1157" s="197">
        <f t="shared" ref="H1157:H1159" si="319">SUM(G1157*200)</f>
        <v>200</v>
      </c>
      <c r="I1157" s="194"/>
      <c r="J1157" s="279">
        <v>8200</v>
      </c>
      <c r="K1157" s="280" t="s">
        <v>13</v>
      </c>
      <c r="L1157" s="281">
        <v>8000</v>
      </c>
    </row>
    <row r="1158" spans="1:12">
      <c r="A1158" s="198" t="s">
        <v>14</v>
      </c>
      <c r="B1158" s="199">
        <v>46083</v>
      </c>
      <c r="C1158" s="201" t="s">
        <v>1918</v>
      </c>
      <c r="D1158" s="201" t="s">
        <v>1894</v>
      </c>
      <c r="E1158" s="202">
        <v>8500</v>
      </c>
      <c r="F1158" s="195">
        <f>SUM(E1158*0.5)</f>
        <v>4250</v>
      </c>
      <c r="G1158" s="203">
        <v>3</v>
      </c>
      <c r="H1158" s="197">
        <f t="shared" si="319"/>
        <v>600</v>
      </c>
      <c r="I1158" s="206"/>
      <c r="J1158" s="282">
        <v>9100</v>
      </c>
      <c r="K1158" s="283" t="s">
        <v>314</v>
      </c>
      <c r="L1158" s="284">
        <v>8500</v>
      </c>
    </row>
    <row r="1159" spans="1:12">
      <c r="A1159" s="190" t="s">
        <v>18</v>
      </c>
      <c r="B1159" s="199">
        <v>46445</v>
      </c>
      <c r="C1159" s="14" t="s">
        <v>1909</v>
      </c>
      <c r="D1159" s="205" t="s">
        <v>1893</v>
      </c>
      <c r="E1159" s="202">
        <v>8000</v>
      </c>
      <c r="F1159" s="195">
        <f t="shared" ref="F1159:F1160" si="320">SUM(E1159*0.5)</f>
        <v>4000</v>
      </c>
      <c r="G1159" s="203">
        <v>1</v>
      </c>
      <c r="H1159" s="197">
        <f t="shared" si="319"/>
        <v>200</v>
      </c>
      <c r="I1159" s="206"/>
      <c r="J1159" s="282">
        <f>SUM(E1159,H1159:I1159)</f>
        <v>8200</v>
      </c>
      <c r="K1159" s="288" t="s">
        <v>21</v>
      </c>
      <c r="L1159" s="284">
        <v>8000</v>
      </c>
    </row>
    <row r="1160" spans="1:12" ht="25.5">
      <c r="A1160" s="190" t="s">
        <v>22</v>
      </c>
      <c r="B1160" s="199">
        <v>46063</v>
      </c>
      <c r="C1160" s="26" t="s">
        <v>1901</v>
      </c>
      <c r="D1160" s="205" t="s">
        <v>1895</v>
      </c>
      <c r="E1160" s="206">
        <v>7250</v>
      </c>
      <c r="F1160" s="195">
        <f t="shared" si="320"/>
        <v>3625</v>
      </c>
      <c r="G1160" s="203">
        <v>1</v>
      </c>
      <c r="H1160" s="197">
        <f t="shared" ref="H1160" si="321">SUM(G1160*200)</f>
        <v>200</v>
      </c>
      <c r="I1160" s="206"/>
      <c r="J1160" s="282">
        <v>7450</v>
      </c>
      <c r="K1160" s="290" t="s">
        <v>25</v>
      </c>
      <c r="L1160" s="291">
        <v>5000</v>
      </c>
    </row>
    <row r="1161" spans="1:12">
      <c r="A1161" s="190" t="s">
        <v>26</v>
      </c>
      <c r="B1161" s="199">
        <v>46084</v>
      </c>
      <c r="C1161" s="208" t="s">
        <v>1921</v>
      </c>
      <c r="D1161" s="205" t="s">
        <v>1890</v>
      </c>
      <c r="E1161" s="206">
        <v>6000</v>
      </c>
      <c r="F1161" s="195">
        <f t="shared" ref="F1161" si="322">SUM(E1161*0.5)</f>
        <v>3000</v>
      </c>
      <c r="G1161" s="203">
        <v>1</v>
      </c>
      <c r="H1161" s="197">
        <f t="shared" ref="H1161" si="323">SUM(G1161*200)</f>
        <v>200</v>
      </c>
      <c r="I1161" s="206"/>
      <c r="J1161" s="282">
        <v>6200</v>
      </c>
      <c r="K1161" s="288" t="s">
        <v>1608</v>
      </c>
      <c r="L1161" s="291">
        <v>6000</v>
      </c>
    </row>
    <row r="1162" spans="1:12">
      <c r="A1162" s="190" t="s">
        <v>30</v>
      </c>
      <c r="B1162" s="199">
        <v>46083</v>
      </c>
      <c r="C1162" s="363" t="s">
        <v>1920</v>
      </c>
      <c r="D1162" s="205" t="s">
        <v>1896</v>
      </c>
      <c r="E1162" s="209">
        <v>6500</v>
      </c>
      <c r="F1162" s="195">
        <v>3250</v>
      </c>
      <c r="G1162" s="210">
        <v>3</v>
      </c>
      <c r="H1162" s="197">
        <v>600</v>
      </c>
      <c r="I1162" s="209"/>
      <c r="J1162" s="254">
        <v>7100</v>
      </c>
      <c r="K1162" s="294" t="s">
        <v>1344</v>
      </c>
      <c r="L1162" s="287">
        <v>6500</v>
      </c>
    </row>
    <row r="1163" spans="1:12">
      <c r="A1163" s="190" t="s">
        <v>33</v>
      </c>
      <c r="B1163" s="199">
        <v>46080</v>
      </c>
      <c r="C1163" s="14" t="s">
        <v>1911</v>
      </c>
      <c r="D1163" s="205" t="s">
        <v>1887</v>
      </c>
      <c r="E1163" s="202">
        <v>6000</v>
      </c>
      <c r="F1163" s="195">
        <f t="shared" ref="F1163" si="324">SUM(E1163*0.5)</f>
        <v>3000</v>
      </c>
      <c r="G1163" s="210">
        <v>1</v>
      </c>
      <c r="H1163" s="197">
        <f t="shared" ref="H1163" si="325">SUM(G1163*200)</f>
        <v>200</v>
      </c>
      <c r="I1163" s="202"/>
      <c r="J1163" s="197">
        <v>6200</v>
      </c>
      <c r="K1163" s="288" t="s">
        <v>17</v>
      </c>
      <c r="L1163" s="284">
        <v>6000</v>
      </c>
    </row>
    <row r="1164" spans="1:12">
      <c r="A1164" s="190" t="s">
        <v>35</v>
      </c>
      <c r="B1164" s="199">
        <v>46079</v>
      </c>
      <c r="C1164" s="211" t="s">
        <v>1906</v>
      </c>
      <c r="D1164" s="177" t="s">
        <v>1897</v>
      </c>
      <c r="E1164" s="212">
        <v>6500</v>
      </c>
      <c r="F1164" s="195">
        <v>3250</v>
      </c>
      <c r="G1164" s="210">
        <v>1</v>
      </c>
      <c r="H1164" s="197">
        <v>200</v>
      </c>
      <c r="I1164" s="206"/>
      <c r="J1164" s="282">
        <v>6700</v>
      </c>
      <c r="K1164" s="295" t="s">
        <v>1717</v>
      </c>
      <c r="L1164" s="284">
        <v>6500</v>
      </c>
    </row>
    <row r="1165" spans="1:12">
      <c r="A1165" s="213" t="s">
        <v>39</v>
      </c>
      <c r="B1165" s="199">
        <v>46081</v>
      </c>
      <c r="C1165" s="14" t="s">
        <v>1914</v>
      </c>
      <c r="D1165" s="205" t="s">
        <v>1889</v>
      </c>
      <c r="E1165" s="202">
        <v>8000</v>
      </c>
      <c r="F1165" s="195">
        <f t="shared" ref="F1165" si="326">SUM(E1165*0.5)</f>
        <v>4000</v>
      </c>
      <c r="G1165" s="203">
        <v>1</v>
      </c>
      <c r="H1165" s="197">
        <f t="shared" ref="H1165" si="327">SUM(G1165*200)</f>
        <v>200</v>
      </c>
      <c r="I1165" s="202"/>
      <c r="J1165" s="282">
        <v>8200</v>
      </c>
      <c r="K1165" s="288" t="s">
        <v>42</v>
      </c>
      <c r="L1165" s="284">
        <v>8000</v>
      </c>
    </row>
    <row r="1166" spans="1:12">
      <c r="A1166" s="213" t="s">
        <v>43</v>
      </c>
      <c r="B1166" s="199">
        <v>46065</v>
      </c>
      <c r="C1166" s="204" t="s">
        <v>1902</v>
      </c>
      <c r="D1166" s="14" t="s">
        <v>1898</v>
      </c>
      <c r="E1166" s="202">
        <v>8500</v>
      </c>
      <c r="F1166" s="195">
        <v>4250</v>
      </c>
      <c r="G1166" s="203">
        <v>2</v>
      </c>
      <c r="H1166" s="197">
        <v>400</v>
      </c>
      <c r="I1166" s="206"/>
      <c r="J1166" s="282">
        <v>8900</v>
      </c>
      <c r="K1166" s="288" t="s">
        <v>1599</v>
      </c>
      <c r="L1166" s="284">
        <v>8500</v>
      </c>
    </row>
    <row r="1167" spans="1:12">
      <c r="A1167" s="213" t="s">
        <v>47</v>
      </c>
      <c r="B1167" s="199">
        <v>46080</v>
      </c>
      <c r="C1167" s="204" t="s">
        <v>1912</v>
      </c>
      <c r="D1167" s="205" t="s">
        <v>1896</v>
      </c>
      <c r="E1167" s="202">
        <v>8000</v>
      </c>
      <c r="F1167" s="195">
        <f t="shared" ref="F1167:F1177" si="328">SUM(E1167*0.5)</f>
        <v>4000</v>
      </c>
      <c r="G1167" s="203">
        <v>1</v>
      </c>
      <c r="H1167" s="197">
        <f t="shared" ref="H1167:H1177" si="329">SUM(G1167*200)</f>
        <v>200</v>
      </c>
      <c r="I1167" s="202"/>
      <c r="J1167" s="282">
        <v>8200</v>
      </c>
      <c r="K1167" s="288" t="s">
        <v>50</v>
      </c>
      <c r="L1167" s="291">
        <v>8000</v>
      </c>
    </row>
    <row r="1168" spans="1:12">
      <c r="A1168" s="213" t="s">
        <v>51</v>
      </c>
      <c r="B1168" s="199">
        <v>46079</v>
      </c>
      <c r="C1168" s="204" t="s">
        <v>1908</v>
      </c>
      <c r="D1168" s="205" t="s">
        <v>1887</v>
      </c>
      <c r="E1168" s="212">
        <v>8500</v>
      </c>
      <c r="F1168" s="195">
        <f t="shared" si="328"/>
        <v>4250</v>
      </c>
      <c r="G1168" s="210">
        <v>2</v>
      </c>
      <c r="H1168" s="197">
        <f t="shared" si="329"/>
        <v>400</v>
      </c>
      <c r="I1168" s="212"/>
      <c r="J1168" s="282">
        <v>8920</v>
      </c>
      <c r="K1168" s="295" t="s">
        <v>577</v>
      </c>
      <c r="L1168" s="284">
        <v>8500</v>
      </c>
    </row>
    <row r="1169" spans="1:12">
      <c r="A1169" s="213" t="s">
        <v>55</v>
      </c>
      <c r="B1169" s="199">
        <v>46083</v>
      </c>
      <c r="C1169" s="204" t="s">
        <v>1919</v>
      </c>
      <c r="D1169" s="205" t="s">
        <v>1896</v>
      </c>
      <c r="E1169" s="202">
        <v>7500</v>
      </c>
      <c r="F1169" s="195">
        <f t="shared" si="328"/>
        <v>3750</v>
      </c>
      <c r="G1169" s="203">
        <v>2</v>
      </c>
      <c r="H1169" s="197">
        <f t="shared" si="329"/>
        <v>400</v>
      </c>
      <c r="I1169" s="206"/>
      <c r="J1169" s="282">
        <v>7900</v>
      </c>
      <c r="K1169" s="288" t="s">
        <v>57</v>
      </c>
      <c r="L1169" s="284">
        <v>7500</v>
      </c>
    </row>
    <row r="1170" spans="1:12">
      <c r="A1170" s="213" t="s">
        <v>58</v>
      </c>
      <c r="B1170" s="199">
        <v>46084</v>
      </c>
      <c r="C1170" s="204" t="s">
        <v>1922</v>
      </c>
      <c r="D1170" s="205" t="s">
        <v>1895</v>
      </c>
      <c r="E1170" s="202">
        <v>6500</v>
      </c>
      <c r="F1170" s="195">
        <f t="shared" si="328"/>
        <v>3250</v>
      </c>
      <c r="G1170" s="203">
        <v>1</v>
      </c>
      <c r="H1170" s="197">
        <f t="shared" si="329"/>
        <v>200</v>
      </c>
      <c r="I1170" s="206"/>
      <c r="J1170" s="254">
        <v>6700</v>
      </c>
      <c r="K1170" s="296" t="s">
        <v>378</v>
      </c>
      <c r="L1170" s="284">
        <v>6500</v>
      </c>
    </row>
    <row r="1171" spans="1:12">
      <c r="A1171" s="213" t="s">
        <v>60</v>
      </c>
      <c r="B1171" s="199">
        <v>46080</v>
      </c>
      <c r="C1171" s="14" t="s">
        <v>1910</v>
      </c>
      <c r="D1171" s="205" t="s">
        <v>1890</v>
      </c>
      <c r="E1171" s="202">
        <v>6500</v>
      </c>
      <c r="F1171" s="195">
        <f t="shared" si="328"/>
        <v>3250</v>
      </c>
      <c r="G1171" s="203">
        <v>1</v>
      </c>
      <c r="H1171" s="197">
        <f t="shared" si="329"/>
        <v>200</v>
      </c>
      <c r="I1171" s="206"/>
      <c r="J1171" s="254">
        <v>6700</v>
      </c>
      <c r="K1171" s="295" t="s">
        <v>1725</v>
      </c>
      <c r="L1171" s="284">
        <v>6500</v>
      </c>
    </row>
    <row r="1172" spans="1:12">
      <c r="A1172" s="214" t="s">
        <v>63</v>
      </c>
      <c r="B1172" s="199">
        <v>46079</v>
      </c>
      <c r="C1172" s="204" t="s">
        <v>1907</v>
      </c>
      <c r="D1172" s="205" t="s">
        <v>1899</v>
      </c>
      <c r="E1172" s="206">
        <v>9000</v>
      </c>
      <c r="F1172" s="195">
        <f t="shared" si="328"/>
        <v>4500</v>
      </c>
      <c r="G1172" s="203">
        <v>2</v>
      </c>
      <c r="H1172" s="197">
        <f t="shared" si="329"/>
        <v>400</v>
      </c>
      <c r="I1172" s="206"/>
      <c r="J1172" s="282">
        <v>9400</v>
      </c>
      <c r="K1172" s="288" t="s">
        <v>584</v>
      </c>
      <c r="L1172" s="291">
        <v>9000</v>
      </c>
    </row>
    <row r="1173" spans="1:12">
      <c r="A1173" s="214" t="s">
        <v>67</v>
      </c>
      <c r="B1173" s="199">
        <v>46081</v>
      </c>
      <c r="C1173" s="14" t="s">
        <v>1915</v>
      </c>
      <c r="D1173" s="205" t="s">
        <v>1893</v>
      </c>
      <c r="E1173" s="206">
        <v>8500</v>
      </c>
      <c r="F1173" s="195">
        <f t="shared" si="328"/>
        <v>4250</v>
      </c>
      <c r="G1173" s="203">
        <v>2</v>
      </c>
      <c r="H1173" s="197">
        <f t="shared" si="329"/>
        <v>400</v>
      </c>
      <c r="I1173" s="206"/>
      <c r="J1173" s="282">
        <v>8900</v>
      </c>
      <c r="K1173" s="295" t="s">
        <v>1074</v>
      </c>
      <c r="L1173" s="284">
        <v>8500</v>
      </c>
    </row>
    <row r="1174" spans="1:12">
      <c r="A1174" s="214" t="s">
        <v>71</v>
      </c>
      <c r="B1174" s="199">
        <v>46081</v>
      </c>
      <c r="C1174" s="204" t="s">
        <v>1913</v>
      </c>
      <c r="D1174" s="205" t="s">
        <v>1890</v>
      </c>
      <c r="E1174" s="206">
        <v>8500</v>
      </c>
      <c r="F1174" s="195">
        <f t="shared" si="328"/>
        <v>4250</v>
      </c>
      <c r="G1174" s="203">
        <v>2</v>
      </c>
      <c r="H1174" s="197">
        <f t="shared" si="329"/>
        <v>400</v>
      </c>
      <c r="I1174" s="206"/>
      <c r="J1174" s="282">
        <v>8900</v>
      </c>
      <c r="K1174" s="288" t="s">
        <v>383</v>
      </c>
      <c r="L1174" s="291">
        <v>8500</v>
      </c>
    </row>
    <row r="1175" spans="1:12">
      <c r="A1175" s="214" t="s">
        <v>74</v>
      </c>
      <c r="B1175" s="199">
        <v>46085</v>
      </c>
      <c r="C1175" s="14" t="s">
        <v>1923</v>
      </c>
      <c r="D1175" s="205" t="s">
        <v>1890</v>
      </c>
      <c r="E1175" s="206">
        <v>8500</v>
      </c>
      <c r="F1175" s="195">
        <f t="shared" si="328"/>
        <v>4250</v>
      </c>
      <c r="G1175" s="203">
        <v>2</v>
      </c>
      <c r="H1175" s="197">
        <f t="shared" si="329"/>
        <v>400</v>
      </c>
      <c r="I1175" s="206"/>
      <c r="J1175" s="282">
        <v>8900</v>
      </c>
      <c r="K1175" s="288" t="s">
        <v>1608</v>
      </c>
      <c r="L1175" s="291">
        <v>8500</v>
      </c>
    </row>
    <row r="1176" spans="1:12">
      <c r="A1176" s="214" t="s">
        <v>77</v>
      </c>
      <c r="B1176" s="199">
        <v>46062</v>
      </c>
      <c r="C1176" s="208" t="s">
        <v>1900</v>
      </c>
      <c r="D1176" s="205" t="s">
        <v>1889</v>
      </c>
      <c r="E1176" s="206">
        <v>8000</v>
      </c>
      <c r="F1176" s="195">
        <f t="shared" si="328"/>
        <v>4000</v>
      </c>
      <c r="G1176" s="203">
        <v>2</v>
      </c>
      <c r="H1176" s="197">
        <f t="shared" si="329"/>
        <v>400</v>
      </c>
      <c r="I1176" s="206"/>
      <c r="J1176" s="282">
        <v>8400</v>
      </c>
      <c r="K1176" s="288" t="s">
        <v>340</v>
      </c>
      <c r="L1176" s="291">
        <v>8000</v>
      </c>
    </row>
    <row r="1177" spans="1:12">
      <c r="A1177" s="214" t="s">
        <v>81</v>
      </c>
      <c r="B1177" s="199">
        <v>46078</v>
      </c>
      <c r="C1177" s="208" t="s">
        <v>1903</v>
      </c>
      <c r="D1177" s="177" t="s">
        <v>1886</v>
      </c>
      <c r="E1177" s="209">
        <v>6500</v>
      </c>
      <c r="F1177" s="195">
        <f t="shared" si="328"/>
        <v>3250</v>
      </c>
      <c r="G1177" s="210">
        <v>1</v>
      </c>
      <c r="H1177" s="197">
        <f t="shared" si="329"/>
        <v>200</v>
      </c>
      <c r="I1177" s="206"/>
      <c r="J1177" s="282">
        <v>6700</v>
      </c>
      <c r="K1177" s="295" t="s">
        <v>1904</v>
      </c>
      <c r="L1177" s="291">
        <v>6500</v>
      </c>
    </row>
    <row r="1178" spans="1:12">
      <c r="A1178" s="215" t="s">
        <v>84</v>
      </c>
      <c r="B1178" s="216">
        <v>46078</v>
      </c>
      <c r="C1178" s="208" t="s">
        <v>1905</v>
      </c>
      <c r="D1178" s="208" t="s">
        <v>1893</v>
      </c>
      <c r="E1178" s="209">
        <v>6500</v>
      </c>
      <c r="F1178" s="195">
        <f t="shared" ref="F1178" si="330">SUM(E1178*0.5)</f>
        <v>3250</v>
      </c>
      <c r="G1178" s="210">
        <v>2</v>
      </c>
      <c r="H1178" s="197">
        <v>400</v>
      </c>
      <c r="I1178" s="209"/>
      <c r="J1178" s="254">
        <v>6900</v>
      </c>
      <c r="K1178" s="24" t="s">
        <v>1300</v>
      </c>
      <c r="L1178" s="287">
        <v>6000</v>
      </c>
    </row>
    <row r="1179" spans="1:12" ht="15.75" thickBot="1">
      <c r="A1179" s="221"/>
      <c r="B1179" s="222"/>
      <c r="C1179" s="223"/>
      <c r="D1179" s="224"/>
      <c r="E1179" s="225">
        <f>SUM(E1157:E1178)</f>
        <v>165750</v>
      </c>
      <c r="F1179" s="226">
        <f>SUM(F1157:F1178)</f>
        <v>82875</v>
      </c>
      <c r="G1179" s="225">
        <f t="shared" ref="G1179:J1179" si="331">SUM(G1157:G1178)</f>
        <v>35</v>
      </c>
      <c r="H1179" s="227">
        <f t="shared" si="331"/>
        <v>7000</v>
      </c>
      <c r="I1179" s="225">
        <f t="shared" si="331"/>
        <v>0</v>
      </c>
      <c r="J1179" s="227">
        <f t="shared" si="331"/>
        <v>172770</v>
      </c>
      <c r="K1179" s="306"/>
      <c r="L1179" s="307">
        <f>SUM(L1157:L1178)</f>
        <v>163000</v>
      </c>
    </row>
    <row r="1180" spans="1:12">
      <c r="A1180" s="228" t="s">
        <v>88</v>
      </c>
      <c r="B1180" s="229"/>
      <c r="C1180" s="230"/>
      <c r="D1180" s="205"/>
      <c r="E1180" s="195"/>
      <c r="F1180" s="195"/>
      <c r="G1180" s="231"/>
      <c r="H1180" s="195"/>
      <c r="I1180" s="195"/>
      <c r="J1180" s="230"/>
      <c r="K1180" s="309"/>
      <c r="L1180" s="291"/>
    </row>
    <row r="1181" spans="1:12">
      <c r="A1181" s="176" t="s">
        <v>89</v>
      </c>
      <c r="B1181" s="199">
        <v>46065</v>
      </c>
      <c r="C1181" s="204" t="s">
        <v>90</v>
      </c>
      <c r="D1181" s="205" t="s">
        <v>976</v>
      </c>
      <c r="E1181" s="206">
        <v>10000</v>
      </c>
      <c r="F1181" s="195"/>
      <c r="G1181" s="232">
        <v>2</v>
      </c>
      <c r="H1181" s="197">
        <f t="shared" ref="H1181:H1183" si="332">SUM(G1181*200)</f>
        <v>400</v>
      </c>
      <c r="I1181" s="206"/>
      <c r="J1181" s="282">
        <v>10400</v>
      </c>
      <c r="K1181" s="288" t="s">
        <v>92</v>
      </c>
      <c r="L1181" s="291">
        <v>10000</v>
      </c>
    </row>
    <row r="1182" spans="1:12">
      <c r="A1182" s="176" t="s">
        <v>93</v>
      </c>
      <c r="B1182" s="199">
        <v>46085</v>
      </c>
      <c r="C1182" s="207" t="s">
        <v>94</v>
      </c>
      <c r="D1182" s="177" t="s">
        <v>1892</v>
      </c>
      <c r="E1182" s="212">
        <v>10000</v>
      </c>
      <c r="F1182" s="233"/>
      <c r="G1182" s="210">
        <v>2</v>
      </c>
      <c r="H1182" s="197">
        <f t="shared" si="332"/>
        <v>400</v>
      </c>
      <c r="I1182" s="202"/>
      <c r="J1182" s="282">
        <v>10400</v>
      </c>
      <c r="K1182" s="310" t="s">
        <v>96</v>
      </c>
      <c r="L1182" s="284">
        <v>6000</v>
      </c>
    </row>
    <row r="1183" spans="1:12">
      <c r="A1183" s="176" t="s">
        <v>97</v>
      </c>
      <c r="B1183" s="199">
        <v>46070</v>
      </c>
      <c r="C1183" s="204" t="s">
        <v>98</v>
      </c>
      <c r="D1183" s="205" t="s">
        <v>1891</v>
      </c>
      <c r="E1183" s="234">
        <v>12000</v>
      </c>
      <c r="F1183" s="235"/>
      <c r="G1183" s="232">
        <v>2</v>
      </c>
      <c r="H1183" s="197">
        <f t="shared" si="332"/>
        <v>400</v>
      </c>
      <c r="I1183" s="206"/>
      <c r="J1183" s="282">
        <v>12400</v>
      </c>
      <c r="K1183" s="288" t="s">
        <v>99</v>
      </c>
      <c r="L1183" s="291">
        <v>12000</v>
      </c>
    </row>
    <row r="1184" spans="1:12">
      <c r="A1184" s="176" t="s">
        <v>100</v>
      </c>
      <c r="B1184" s="199">
        <v>46080</v>
      </c>
      <c r="C1184" s="236" t="s">
        <v>1619</v>
      </c>
      <c r="D1184" s="205" t="s">
        <v>1887</v>
      </c>
      <c r="E1184" s="212">
        <v>12000</v>
      </c>
      <c r="F1184" s="195"/>
      <c r="G1184" s="210">
        <v>4</v>
      </c>
      <c r="H1184" s="197">
        <f t="shared" ref="H1184:H1185" si="333">SUM(G1184*200)</f>
        <v>800</v>
      </c>
      <c r="I1184" s="212"/>
      <c r="J1184" s="282">
        <v>12800</v>
      </c>
      <c r="K1184" s="295" t="s">
        <v>1620</v>
      </c>
      <c r="L1184" s="284">
        <v>12000</v>
      </c>
    </row>
    <row r="1185" spans="1:12">
      <c r="A1185" s="176" t="s">
        <v>104</v>
      </c>
      <c r="B1185" s="339">
        <v>46085</v>
      </c>
      <c r="C1185" s="237" t="s">
        <v>1575</v>
      </c>
      <c r="D1185" s="205" t="s">
        <v>1890</v>
      </c>
      <c r="E1185" s="206">
        <v>12000</v>
      </c>
      <c r="F1185" s="195"/>
      <c r="G1185" s="238">
        <v>4</v>
      </c>
      <c r="H1185" s="197">
        <f t="shared" si="333"/>
        <v>800</v>
      </c>
      <c r="I1185" s="219"/>
      <c r="J1185" s="282">
        <v>12800</v>
      </c>
      <c r="K1185" s="311" t="s">
        <v>107</v>
      </c>
      <c r="L1185" s="291">
        <v>12000</v>
      </c>
    </row>
    <row r="1186" spans="1:12" ht="15.75" thickBot="1">
      <c r="A1186" s="239"/>
      <c r="B1186" s="240"/>
      <c r="C1186" s="241" t="s">
        <v>108</v>
      </c>
      <c r="D1186" s="242"/>
      <c r="E1186" s="243">
        <f>SUM(E1181:E1184)</f>
        <v>44000</v>
      </c>
      <c r="F1186" s="226"/>
      <c r="G1186" s="226">
        <f>SUM(G1181:G1184)</f>
        <v>10</v>
      </c>
      <c r="H1186" s="226">
        <f>SUM(H1181:H1184)</f>
        <v>2000</v>
      </c>
      <c r="I1186" s="243">
        <f>SUM(I1181:I1184)</f>
        <v>0</v>
      </c>
      <c r="J1186" s="226">
        <f>SUM(J1181:J1184)</f>
        <v>46000</v>
      </c>
      <c r="K1186" s="306"/>
      <c r="L1186" s="312">
        <f>SUM(L1181:L1185)</f>
        <v>52000</v>
      </c>
    </row>
    <row r="1187" spans="1:12">
      <c r="A1187" s="228" t="s">
        <v>109</v>
      </c>
      <c r="B1187" s="244"/>
      <c r="C1187" s="245"/>
      <c r="D1187" s="205"/>
      <c r="E1187" s="195"/>
      <c r="F1187" s="195"/>
      <c r="G1187" s="231"/>
      <c r="H1187" s="195"/>
      <c r="I1187" s="195"/>
      <c r="J1187" s="195"/>
      <c r="K1187" s="309"/>
      <c r="L1187" s="313"/>
    </row>
    <row r="1188" spans="1:12" ht="15.75" thickBot="1">
      <c r="A1188" s="246" t="s">
        <v>110</v>
      </c>
      <c r="B1188" s="247"/>
      <c r="C1188" s="248" t="s">
        <v>111</v>
      </c>
      <c r="D1188" s="242"/>
      <c r="E1188" s="243"/>
      <c r="F1188" s="226"/>
      <c r="G1188" s="249"/>
      <c r="H1188" s="226"/>
      <c r="I1188" s="243"/>
      <c r="J1188" s="226"/>
      <c r="K1188" s="306"/>
      <c r="L1188" s="312"/>
    </row>
    <row r="1189" spans="1:12">
      <c r="A1189" s="228" t="s">
        <v>112</v>
      </c>
      <c r="B1189" s="250"/>
      <c r="C1189" s="245"/>
      <c r="D1189" s="205"/>
      <c r="E1189" s="195"/>
      <c r="F1189" s="195"/>
      <c r="G1189" s="231"/>
      <c r="H1189" s="195"/>
      <c r="I1189" s="195"/>
      <c r="J1189" s="195"/>
      <c r="K1189" s="309"/>
      <c r="L1189" s="313"/>
    </row>
    <row r="1190" spans="1:12">
      <c r="A1190" s="176" t="s">
        <v>113</v>
      </c>
      <c r="B1190" s="199">
        <v>46078</v>
      </c>
      <c r="C1190" s="251" t="s">
        <v>114</v>
      </c>
      <c r="D1190" s="177" t="s">
        <v>1889</v>
      </c>
      <c r="E1190" s="206">
        <v>12600</v>
      </c>
      <c r="F1190" s="230"/>
      <c r="G1190" s="209">
        <v>2</v>
      </c>
      <c r="H1190" s="197">
        <f t="shared" ref="H1190:H1192" si="334">SUM(G1190*200)</f>
        <v>400</v>
      </c>
      <c r="I1190" s="314"/>
      <c r="J1190" s="282">
        <v>12400</v>
      </c>
      <c r="K1190" s="295" t="s">
        <v>115</v>
      </c>
      <c r="L1190" s="291">
        <v>12000</v>
      </c>
    </row>
    <row r="1191" spans="1:12">
      <c r="A1191" s="176" t="s">
        <v>116</v>
      </c>
      <c r="B1191" s="199">
        <v>46055</v>
      </c>
      <c r="C1191" s="252" t="s">
        <v>117</v>
      </c>
      <c r="D1191" s="205" t="s">
        <v>1888</v>
      </c>
      <c r="E1191" s="206">
        <v>7000</v>
      </c>
      <c r="F1191" s="195"/>
      <c r="G1191" s="209">
        <v>1</v>
      </c>
      <c r="H1191" s="197">
        <f t="shared" si="334"/>
        <v>200</v>
      </c>
      <c r="I1191" s="314"/>
      <c r="J1191" s="282">
        <v>7200</v>
      </c>
      <c r="K1191" s="288" t="s">
        <v>119</v>
      </c>
      <c r="L1191" s="291">
        <v>7000</v>
      </c>
    </row>
    <row r="1192" spans="1:12">
      <c r="A1192" s="176" t="s">
        <v>120</v>
      </c>
      <c r="B1192" s="199">
        <v>46076</v>
      </c>
      <c r="C1192" s="253" t="s">
        <v>121</v>
      </c>
      <c r="D1192" s="177" t="s">
        <v>1887</v>
      </c>
      <c r="E1192" s="209">
        <v>10000</v>
      </c>
      <c r="F1192" s="254"/>
      <c r="G1192" s="209">
        <v>2</v>
      </c>
      <c r="H1192" s="197">
        <f t="shared" si="334"/>
        <v>400</v>
      </c>
      <c r="I1192" s="315"/>
      <c r="J1192" s="254">
        <v>10400</v>
      </c>
      <c r="K1192" s="316" t="s">
        <v>122</v>
      </c>
      <c r="L1192" s="291">
        <v>10000</v>
      </c>
    </row>
    <row r="1193" spans="1:12" ht="15.75" thickBot="1">
      <c r="A1193" s="246"/>
      <c r="B1193" s="247"/>
      <c r="C1193" s="255"/>
      <c r="D1193" s="242"/>
      <c r="E1193" s="256">
        <f>SUM(E1190:E1192)</f>
        <v>29600</v>
      </c>
      <c r="F1193" s="257"/>
      <c r="G1193" s="256">
        <f>SUM(G1190:G1192)</f>
        <v>5</v>
      </c>
      <c r="H1193" s="257">
        <f>SUM(H1190:H1192)</f>
        <v>1000</v>
      </c>
      <c r="I1193" s="257">
        <f>SUM(I1190:I1192)</f>
        <v>0</v>
      </c>
      <c r="J1193" s="257">
        <f>SUM(J1190:J1192)</f>
        <v>30000</v>
      </c>
      <c r="K1193" s="317"/>
      <c r="L1193" s="312">
        <f>SUM(L1190:L1192)</f>
        <v>29000</v>
      </c>
    </row>
    <row r="1194" spans="1:12">
      <c r="B1194" s="244"/>
      <c r="C1194" s="80"/>
      <c r="D1194" s="258"/>
      <c r="E1194" s="259">
        <f>SUM(E1179,E1186,E1188,E1193)</f>
        <v>239350</v>
      </c>
      <c r="F1194" s="260"/>
      <c r="G1194" s="259">
        <f>SUM(G1179,G1186,G1188,G1193)</f>
        <v>50</v>
      </c>
      <c r="H1194" s="259">
        <f>SUM(H1179,H1186,H1188,H1193)</f>
        <v>10000</v>
      </c>
      <c r="I1194" s="318">
        <f>SUM(I1179,I1186,I1188,I1193)</f>
        <v>0</v>
      </c>
      <c r="J1194" s="259">
        <f>SUM(J1179,J1186,J1188,J1193)</f>
        <v>248770</v>
      </c>
      <c r="K1194" s="319"/>
      <c r="L1194" s="291"/>
    </row>
    <row r="1195" spans="1:12">
      <c r="A1195" s="228" t="s">
        <v>123</v>
      </c>
      <c r="B1195" s="261"/>
      <c r="C1195" s="262"/>
      <c r="D1195" s="15"/>
      <c r="E1195" s="195"/>
      <c r="F1195" s="263" t="s">
        <v>124</v>
      </c>
      <c r="G1195" s="264"/>
      <c r="H1195" s="195"/>
      <c r="I1195" s="195"/>
      <c r="J1195" s="230"/>
      <c r="K1195" s="309"/>
      <c r="L1195" s="284"/>
    </row>
    <row r="1196" spans="1:12">
      <c r="A1196" s="176" t="s">
        <v>125</v>
      </c>
      <c r="B1196" s="199">
        <v>46063</v>
      </c>
      <c r="C1196" s="265" t="s">
        <v>126</v>
      </c>
      <c r="D1196" s="205" t="s">
        <v>1885</v>
      </c>
      <c r="E1196" s="202">
        <v>5000</v>
      </c>
      <c r="F1196" s="266">
        <v>325</v>
      </c>
      <c r="G1196" s="203">
        <v>2</v>
      </c>
      <c r="H1196" s="266">
        <f t="shared" ref="H1196:H1197" si="335">SUM(G1196*200)</f>
        <v>400</v>
      </c>
      <c r="I1196" s="202"/>
      <c r="J1196" s="282">
        <v>5400</v>
      </c>
      <c r="K1196" s="319" t="s">
        <v>128</v>
      </c>
      <c r="L1196" s="284">
        <v>5000</v>
      </c>
    </row>
    <row r="1197" spans="1:12">
      <c r="A1197" s="176" t="s">
        <v>129</v>
      </c>
      <c r="B1197" s="199">
        <v>46083</v>
      </c>
      <c r="C1197" s="265" t="s">
        <v>130</v>
      </c>
      <c r="D1197" s="205" t="s">
        <v>1886</v>
      </c>
      <c r="E1197" s="206">
        <v>5500</v>
      </c>
      <c r="F1197" s="195"/>
      <c r="G1197" s="203">
        <v>1</v>
      </c>
      <c r="H1197" s="266">
        <f t="shared" si="335"/>
        <v>200</v>
      </c>
      <c r="I1197" s="206"/>
      <c r="J1197" s="282">
        <f>SUM(E1197,H1197:I1197)</f>
        <v>5700</v>
      </c>
      <c r="K1197" s="319" t="s">
        <v>132</v>
      </c>
      <c r="L1197" s="291">
        <v>5500</v>
      </c>
    </row>
    <row r="1198" spans="1:12" ht="15.75" thickBot="1">
      <c r="A1198" s="267" t="s">
        <v>133</v>
      </c>
      <c r="B1198" s="268"/>
      <c r="C1198" s="269"/>
      <c r="D1198" s="242"/>
      <c r="E1198" s="270">
        <f>SUM(E1196:E1197)</f>
        <v>10500</v>
      </c>
      <c r="F1198" s="226">
        <f t="shared" ref="F1198:I1198" si="336">SUM(F1196:F1197)</f>
        <v>325</v>
      </c>
      <c r="G1198" s="243">
        <f t="shared" si="336"/>
        <v>3</v>
      </c>
      <c r="H1198" s="226">
        <f t="shared" si="336"/>
        <v>600</v>
      </c>
      <c r="I1198" s="320">
        <f t="shared" si="336"/>
        <v>0</v>
      </c>
      <c r="J1198" s="321">
        <f>SUM(F1198,H1198,I1198,)</f>
        <v>925</v>
      </c>
      <c r="K1198" s="322"/>
      <c r="L1198" s="322"/>
    </row>
    <row r="1199" spans="1:12">
      <c r="E1199" s="271" t="s">
        <v>134</v>
      </c>
      <c r="F1199" s="272">
        <f>SUM(F1194,F1198)</f>
        <v>325</v>
      </c>
      <c r="H1199" s="272">
        <f>SUM(H1194,H1198)</f>
        <v>10600</v>
      </c>
      <c r="I1199" s="324">
        <f>SUM(I1194,I1198)</f>
        <v>0</v>
      </c>
      <c r="J1199" s="325" t="s">
        <v>135</v>
      </c>
    </row>
    <row r="1200" spans="1:12">
      <c r="D1200" s="326">
        <f>SUM(E700,E744,E789,E834,E879,E924,E969,E1014,E1059,E1104,E1149,E1194)</f>
        <v>612950</v>
      </c>
      <c r="E1200" s="326">
        <f>SUM(E685,E729,E774,E825,E864,E909,E954,E999,E1044,E1089,E1134,E1179)</f>
        <v>267950</v>
      </c>
    </row>
    <row r="1202" spans="1:12">
      <c r="A1202" s="340" t="s">
        <v>1806</v>
      </c>
    </row>
    <row r="1203" spans="1:12" ht="18.75" thickBot="1">
      <c r="A1203" s="185" t="s">
        <v>8</v>
      </c>
      <c r="B1203" s="348" t="s">
        <v>1960</v>
      </c>
      <c r="C1203" s="187"/>
    </row>
    <row r="1204" spans="1:12">
      <c r="A1204" s="190" t="s">
        <v>10</v>
      </c>
      <c r="B1204" s="191">
        <v>46114</v>
      </c>
      <c r="C1204" s="7" t="s">
        <v>1984</v>
      </c>
      <c r="D1204" s="193" t="s">
        <v>1961</v>
      </c>
      <c r="E1204" s="194">
        <v>8000</v>
      </c>
      <c r="F1204" s="195">
        <f>SUM(E1204*0.5)</f>
        <v>4000</v>
      </c>
      <c r="G1204" s="196">
        <v>1</v>
      </c>
      <c r="H1204" s="197">
        <f t="shared" ref="H1204:H1207" si="337">SUM(G1204*200)</f>
        <v>200</v>
      </c>
      <c r="I1204" s="194"/>
      <c r="J1204" s="279">
        <v>8200</v>
      </c>
      <c r="K1204" s="280" t="s">
        <v>13</v>
      </c>
      <c r="L1204" s="281">
        <v>8000</v>
      </c>
    </row>
    <row r="1205" spans="1:12">
      <c r="A1205" s="198" t="s">
        <v>14</v>
      </c>
      <c r="B1205" s="199">
        <v>46110</v>
      </c>
      <c r="C1205" s="201" t="s">
        <v>1981</v>
      </c>
      <c r="D1205" s="201" t="s">
        <v>1962</v>
      </c>
      <c r="E1205" s="202">
        <v>8500</v>
      </c>
      <c r="F1205" s="195">
        <f>SUM(E1205*0.5)</f>
        <v>4250</v>
      </c>
      <c r="G1205" s="203">
        <v>3</v>
      </c>
      <c r="H1205" s="197">
        <f t="shared" si="337"/>
        <v>600</v>
      </c>
      <c r="I1205" s="206"/>
      <c r="J1205" s="282">
        <v>9100</v>
      </c>
      <c r="K1205" s="283" t="s">
        <v>314</v>
      </c>
      <c r="L1205" s="284">
        <v>8500</v>
      </c>
    </row>
    <row r="1206" spans="1:12">
      <c r="A1206" s="190" t="s">
        <v>18</v>
      </c>
      <c r="B1206" s="199">
        <v>46110</v>
      </c>
      <c r="C1206" s="14" t="s">
        <v>1982</v>
      </c>
      <c r="D1206" s="205" t="s">
        <v>1963</v>
      </c>
      <c r="E1206" s="202">
        <v>8000</v>
      </c>
      <c r="F1206" s="195">
        <f t="shared" ref="F1206:F1207" si="338">SUM(E1206*0.5)</f>
        <v>4000</v>
      </c>
      <c r="G1206" s="203">
        <v>1</v>
      </c>
      <c r="H1206" s="197">
        <f t="shared" si="337"/>
        <v>200</v>
      </c>
      <c r="I1206" s="206"/>
      <c r="J1206" s="282">
        <f>SUM(E1206,H1206:I1206)</f>
        <v>8200</v>
      </c>
      <c r="K1206" s="288" t="s">
        <v>21</v>
      </c>
      <c r="L1206" s="284">
        <v>8000</v>
      </c>
    </row>
    <row r="1207" spans="1:12" ht="25.5">
      <c r="A1207" s="190" t="s">
        <v>22</v>
      </c>
      <c r="B1207" s="199">
        <v>46094</v>
      </c>
      <c r="C1207" s="26" t="s">
        <v>1979</v>
      </c>
      <c r="D1207" s="205" t="s">
        <v>1964</v>
      </c>
      <c r="E1207" s="206">
        <v>7250</v>
      </c>
      <c r="F1207" s="195">
        <f t="shared" si="338"/>
        <v>3625</v>
      </c>
      <c r="G1207" s="203">
        <v>1</v>
      </c>
      <c r="H1207" s="197">
        <f t="shared" si="337"/>
        <v>200</v>
      </c>
      <c r="I1207" s="206"/>
      <c r="J1207" s="282">
        <v>7450</v>
      </c>
      <c r="K1207" s="290" t="s">
        <v>25</v>
      </c>
      <c r="L1207" s="291">
        <v>5000</v>
      </c>
    </row>
    <row r="1208" spans="1:12">
      <c r="A1208" s="190" t="s">
        <v>26</v>
      </c>
      <c r="B1208" s="199"/>
      <c r="C1208" s="208" t="s">
        <v>162</v>
      </c>
      <c r="D1208" s="205"/>
      <c r="E1208" s="206"/>
      <c r="F1208" s="195"/>
      <c r="G1208" s="203"/>
      <c r="H1208" s="197"/>
      <c r="I1208" s="206"/>
      <c r="J1208" s="282"/>
      <c r="K1208" s="288"/>
      <c r="L1208" s="291"/>
    </row>
    <row r="1209" spans="1:12">
      <c r="A1209" s="190" t="s">
        <v>30</v>
      </c>
      <c r="B1209" s="199">
        <v>46114</v>
      </c>
      <c r="C1209" s="363" t="s">
        <v>2067</v>
      </c>
      <c r="D1209" s="205" t="s">
        <v>1966</v>
      </c>
      <c r="E1209" s="209">
        <v>6500</v>
      </c>
      <c r="F1209" s="195">
        <v>3250</v>
      </c>
      <c r="G1209" s="210">
        <v>3</v>
      </c>
      <c r="H1209" s="197">
        <v>600</v>
      </c>
      <c r="I1209" s="209"/>
      <c r="J1209" s="254">
        <v>7100</v>
      </c>
      <c r="K1209" s="294" t="s">
        <v>1344</v>
      </c>
      <c r="L1209" s="287">
        <v>6500</v>
      </c>
    </row>
    <row r="1210" spans="1:12">
      <c r="A1210" s="190" t="s">
        <v>33</v>
      </c>
      <c r="B1210" s="199">
        <v>46110</v>
      </c>
      <c r="C1210" s="14" t="s">
        <v>2066</v>
      </c>
      <c r="D1210" s="205" t="s">
        <v>1967</v>
      </c>
      <c r="E1210" s="202">
        <v>6000</v>
      </c>
      <c r="F1210" s="195">
        <f t="shared" ref="F1210" si="339">SUM(E1210*0.5)</f>
        <v>3000</v>
      </c>
      <c r="G1210" s="210">
        <v>1</v>
      </c>
      <c r="H1210" s="197">
        <f t="shared" ref="H1210" si="340">SUM(G1210*200)</f>
        <v>200</v>
      </c>
      <c r="I1210" s="202"/>
      <c r="J1210" s="197">
        <v>6200</v>
      </c>
      <c r="K1210" s="288" t="s">
        <v>17</v>
      </c>
      <c r="L1210" s="284">
        <v>6000</v>
      </c>
    </row>
    <row r="1211" spans="1:12">
      <c r="A1211" s="190" t="s">
        <v>35</v>
      </c>
      <c r="B1211" s="199">
        <v>46109</v>
      </c>
      <c r="C1211" s="211" t="s">
        <v>2065</v>
      </c>
      <c r="D1211" s="177" t="s">
        <v>1968</v>
      </c>
      <c r="E1211" s="212">
        <v>6500</v>
      </c>
      <c r="F1211" s="195">
        <v>3250</v>
      </c>
      <c r="G1211" s="210">
        <v>1</v>
      </c>
      <c r="H1211" s="197">
        <v>200</v>
      </c>
      <c r="I1211" s="206"/>
      <c r="J1211" s="282">
        <v>6700</v>
      </c>
      <c r="K1211" s="295" t="s">
        <v>1717</v>
      </c>
      <c r="L1211" s="284">
        <v>6500</v>
      </c>
    </row>
    <row r="1212" spans="1:12">
      <c r="A1212" s="213" t="s">
        <v>39</v>
      </c>
      <c r="B1212" s="199">
        <v>46111</v>
      </c>
      <c r="C1212" s="14" t="s">
        <v>1983</v>
      </c>
      <c r="D1212" s="205" t="s">
        <v>1969</v>
      </c>
      <c r="E1212" s="202">
        <v>8000</v>
      </c>
      <c r="F1212" s="195">
        <f t="shared" ref="F1212" si="341">SUM(E1212*0.5)</f>
        <v>4000</v>
      </c>
      <c r="G1212" s="203">
        <v>1</v>
      </c>
      <c r="H1212" s="197">
        <f t="shared" ref="H1212" si="342">SUM(G1212*200)</f>
        <v>200</v>
      </c>
      <c r="I1212" s="202"/>
      <c r="J1212" s="282">
        <v>8200</v>
      </c>
      <c r="K1212" s="288" t="s">
        <v>42</v>
      </c>
      <c r="L1212" s="284">
        <v>8000</v>
      </c>
    </row>
    <row r="1213" spans="1:12">
      <c r="A1213" s="213" t="s">
        <v>43</v>
      </c>
      <c r="B1213" s="199">
        <v>46104</v>
      </c>
      <c r="C1213" s="204" t="s">
        <v>2064</v>
      </c>
      <c r="D1213" s="14" t="s">
        <v>1970</v>
      </c>
      <c r="E1213" s="202">
        <v>8500</v>
      </c>
      <c r="F1213" s="195">
        <v>4250</v>
      </c>
      <c r="G1213" s="203">
        <v>2</v>
      </c>
      <c r="H1213" s="197">
        <v>400</v>
      </c>
      <c r="I1213" s="206"/>
      <c r="J1213" s="282">
        <v>8900</v>
      </c>
      <c r="K1213" s="288" t="s">
        <v>1599</v>
      </c>
      <c r="L1213" s="284">
        <v>8500</v>
      </c>
    </row>
    <row r="1214" spans="1:12">
      <c r="A1214" s="213" t="s">
        <v>47</v>
      </c>
      <c r="B1214" s="199">
        <v>46111</v>
      </c>
      <c r="C1214" s="204" t="s">
        <v>2063</v>
      </c>
      <c r="D1214" s="205" t="s">
        <v>1966</v>
      </c>
      <c r="E1214" s="202">
        <v>8000</v>
      </c>
      <c r="F1214" s="195">
        <f t="shared" ref="F1214:F1225" si="343">SUM(E1214*0.5)</f>
        <v>4000</v>
      </c>
      <c r="G1214" s="203">
        <v>1</v>
      </c>
      <c r="H1214" s="197">
        <f t="shared" ref="H1214:H1224" si="344">SUM(G1214*200)</f>
        <v>200</v>
      </c>
      <c r="I1214" s="202"/>
      <c r="J1214" s="282">
        <v>8200</v>
      </c>
      <c r="K1214" s="288" t="s">
        <v>50</v>
      </c>
      <c r="L1214" s="291">
        <v>8000</v>
      </c>
    </row>
    <row r="1215" spans="1:12">
      <c r="A1215" s="213" t="s">
        <v>51</v>
      </c>
      <c r="B1215" s="199">
        <v>46116</v>
      </c>
      <c r="C1215" s="204" t="s">
        <v>2062</v>
      </c>
      <c r="D1215" s="205" t="s">
        <v>1967</v>
      </c>
      <c r="E1215" s="212">
        <v>8500</v>
      </c>
      <c r="F1215" s="195">
        <f t="shared" si="343"/>
        <v>4250</v>
      </c>
      <c r="G1215" s="210">
        <v>2</v>
      </c>
      <c r="H1215" s="197">
        <f t="shared" si="344"/>
        <v>400</v>
      </c>
      <c r="I1215" s="212"/>
      <c r="J1215" s="282">
        <v>8920</v>
      </c>
      <c r="K1215" s="295" t="s">
        <v>577</v>
      </c>
      <c r="L1215" s="284">
        <v>8500</v>
      </c>
    </row>
    <row r="1216" spans="1:12">
      <c r="A1216" s="213" t="s">
        <v>55</v>
      </c>
      <c r="B1216" s="199">
        <v>46118</v>
      </c>
      <c r="C1216" s="204" t="s">
        <v>2061</v>
      </c>
      <c r="D1216" s="205" t="s">
        <v>1966</v>
      </c>
      <c r="E1216" s="202">
        <v>7500</v>
      </c>
      <c r="F1216" s="195">
        <f t="shared" si="343"/>
        <v>3750</v>
      </c>
      <c r="G1216" s="203">
        <v>2</v>
      </c>
      <c r="H1216" s="197">
        <f t="shared" si="344"/>
        <v>400</v>
      </c>
      <c r="I1216" s="206"/>
      <c r="J1216" s="282">
        <v>7900</v>
      </c>
      <c r="K1216" s="288" t="s">
        <v>57</v>
      </c>
      <c r="L1216" s="284">
        <v>7500</v>
      </c>
    </row>
    <row r="1217" spans="1:12">
      <c r="A1217" s="213" t="s">
        <v>58</v>
      </c>
      <c r="B1217" s="199">
        <v>46118</v>
      </c>
      <c r="C1217" s="204" t="s">
        <v>2060</v>
      </c>
      <c r="D1217" s="205" t="s">
        <v>1964</v>
      </c>
      <c r="E1217" s="202">
        <v>6500</v>
      </c>
      <c r="F1217" s="195">
        <f t="shared" si="343"/>
        <v>3250</v>
      </c>
      <c r="G1217" s="203">
        <v>1</v>
      </c>
      <c r="H1217" s="197">
        <f t="shared" si="344"/>
        <v>200</v>
      </c>
      <c r="I1217" s="206"/>
      <c r="J1217" s="254">
        <v>6700</v>
      </c>
      <c r="K1217" s="296" t="s">
        <v>378</v>
      </c>
      <c r="L1217" s="284">
        <v>6500</v>
      </c>
    </row>
    <row r="1218" spans="1:12">
      <c r="A1218" s="213" t="s">
        <v>60</v>
      </c>
      <c r="B1218" s="199">
        <v>46113</v>
      </c>
      <c r="C1218" s="14" t="s">
        <v>2059</v>
      </c>
      <c r="D1218" s="205" t="s">
        <v>1965</v>
      </c>
      <c r="E1218" s="202">
        <v>6500</v>
      </c>
      <c r="F1218" s="195">
        <f t="shared" si="343"/>
        <v>3250</v>
      </c>
      <c r="G1218" s="203">
        <v>1</v>
      </c>
      <c r="H1218" s="197">
        <f t="shared" si="344"/>
        <v>200</v>
      </c>
      <c r="I1218" s="206"/>
      <c r="J1218" s="254">
        <v>6700</v>
      </c>
      <c r="K1218" s="295" t="s">
        <v>1725</v>
      </c>
      <c r="L1218" s="284">
        <v>6500</v>
      </c>
    </row>
    <row r="1219" spans="1:12">
      <c r="A1219" s="214" t="s">
        <v>63</v>
      </c>
      <c r="B1219" s="199">
        <v>46119</v>
      </c>
      <c r="C1219" s="204" t="s">
        <v>2058</v>
      </c>
      <c r="D1219" s="205" t="s">
        <v>1971</v>
      </c>
      <c r="E1219" s="206">
        <v>9000</v>
      </c>
      <c r="F1219" s="195">
        <f t="shared" si="343"/>
        <v>4500</v>
      </c>
      <c r="G1219" s="203">
        <v>2</v>
      </c>
      <c r="H1219" s="197">
        <f t="shared" si="344"/>
        <v>400</v>
      </c>
      <c r="I1219" s="206"/>
      <c r="J1219" s="282">
        <v>9400</v>
      </c>
      <c r="K1219" s="288" t="s">
        <v>584</v>
      </c>
      <c r="L1219" s="291">
        <v>9000</v>
      </c>
    </row>
    <row r="1220" spans="1:12">
      <c r="A1220" s="214" t="s">
        <v>67</v>
      </c>
      <c r="B1220" s="199">
        <v>46118</v>
      </c>
      <c r="C1220" s="14" t="s">
        <v>2057</v>
      </c>
      <c r="D1220" s="205" t="s">
        <v>1963</v>
      </c>
      <c r="E1220" s="206">
        <v>8500</v>
      </c>
      <c r="F1220" s="195">
        <f t="shared" si="343"/>
        <v>4250</v>
      </c>
      <c r="G1220" s="203">
        <v>2</v>
      </c>
      <c r="H1220" s="197">
        <f t="shared" si="344"/>
        <v>400</v>
      </c>
      <c r="I1220" s="206"/>
      <c r="J1220" s="282">
        <v>8900</v>
      </c>
      <c r="K1220" s="295" t="s">
        <v>1074</v>
      </c>
      <c r="L1220" s="284">
        <v>8500</v>
      </c>
    </row>
    <row r="1221" spans="1:12">
      <c r="A1221" s="214" t="s">
        <v>71</v>
      </c>
      <c r="B1221" s="199">
        <v>46119</v>
      </c>
      <c r="C1221" s="204" t="s">
        <v>2056</v>
      </c>
      <c r="D1221" s="205" t="s">
        <v>1965</v>
      </c>
      <c r="E1221" s="206">
        <v>8500</v>
      </c>
      <c r="F1221" s="195">
        <f t="shared" si="343"/>
        <v>4250</v>
      </c>
      <c r="G1221" s="203">
        <v>2</v>
      </c>
      <c r="H1221" s="197">
        <f t="shared" si="344"/>
        <v>400</v>
      </c>
      <c r="I1221" s="206"/>
      <c r="J1221" s="282">
        <v>8900</v>
      </c>
      <c r="K1221" s="288" t="s">
        <v>383</v>
      </c>
      <c r="L1221" s="291">
        <v>8500</v>
      </c>
    </row>
    <row r="1222" spans="1:12">
      <c r="A1222" s="214" t="s">
        <v>74</v>
      </c>
      <c r="B1222" s="199"/>
      <c r="C1222" s="14" t="s">
        <v>162</v>
      </c>
      <c r="D1222" s="205"/>
      <c r="E1222" s="206"/>
      <c r="F1222" s="195"/>
      <c r="G1222" s="203"/>
      <c r="H1222" s="197"/>
      <c r="I1222" s="206"/>
      <c r="J1222" s="282"/>
      <c r="K1222" s="288"/>
      <c r="L1222" s="291"/>
    </row>
    <row r="1223" spans="1:12">
      <c r="A1223" s="214" t="s">
        <v>77</v>
      </c>
      <c r="B1223" s="199" t="s">
        <v>1977</v>
      </c>
      <c r="C1223" s="208" t="s">
        <v>1978</v>
      </c>
      <c r="D1223" s="205" t="s">
        <v>1969</v>
      </c>
      <c r="E1223" s="206">
        <v>8000</v>
      </c>
      <c r="F1223" s="195">
        <f t="shared" si="343"/>
        <v>4000</v>
      </c>
      <c r="G1223" s="203">
        <v>2</v>
      </c>
      <c r="H1223" s="197">
        <f t="shared" si="344"/>
        <v>400</v>
      </c>
      <c r="I1223" s="206"/>
      <c r="J1223" s="282">
        <v>8400</v>
      </c>
      <c r="K1223" s="288" t="s">
        <v>340</v>
      </c>
      <c r="L1223" s="291">
        <v>8000</v>
      </c>
    </row>
    <row r="1224" spans="1:12">
      <c r="A1224" s="214" t="s">
        <v>81</v>
      </c>
      <c r="B1224" s="199">
        <v>46110</v>
      </c>
      <c r="C1224" s="208" t="s">
        <v>1980</v>
      </c>
      <c r="D1224" s="177" t="s">
        <v>1972</v>
      </c>
      <c r="E1224" s="209">
        <v>6500</v>
      </c>
      <c r="F1224" s="195">
        <f t="shared" si="343"/>
        <v>3250</v>
      </c>
      <c r="G1224" s="210">
        <v>1</v>
      </c>
      <c r="H1224" s="197">
        <f t="shared" si="344"/>
        <v>200</v>
      </c>
      <c r="I1224" s="206"/>
      <c r="J1224" s="282">
        <v>6700</v>
      </c>
      <c r="K1224" s="295" t="s">
        <v>1904</v>
      </c>
      <c r="L1224" s="291">
        <v>6500</v>
      </c>
    </row>
    <row r="1225" spans="1:12">
      <c r="A1225" s="215" t="s">
        <v>84</v>
      </c>
      <c r="B1225" s="216">
        <v>46110</v>
      </c>
      <c r="C1225" s="208" t="s">
        <v>2055</v>
      </c>
      <c r="D1225" s="208" t="s">
        <v>1963</v>
      </c>
      <c r="E1225" s="209">
        <v>6500</v>
      </c>
      <c r="F1225" s="195">
        <f t="shared" si="343"/>
        <v>3250</v>
      </c>
      <c r="G1225" s="210">
        <v>2</v>
      </c>
      <c r="H1225" s="197">
        <v>400</v>
      </c>
      <c r="I1225" s="209"/>
      <c r="J1225" s="254">
        <v>6900</v>
      </c>
      <c r="K1225" s="24" t="s">
        <v>1300</v>
      </c>
      <c r="L1225" s="287">
        <v>6000</v>
      </c>
    </row>
    <row r="1226" spans="1:12" ht="15.75" thickBot="1">
      <c r="A1226" s="221"/>
      <c r="B1226" s="222"/>
      <c r="C1226" s="223"/>
      <c r="D1226" s="224"/>
      <c r="E1226" s="225">
        <f>SUM(E1204:E1225)</f>
        <v>151250</v>
      </c>
      <c r="F1226" s="226">
        <f>SUM(F1204:F1225)</f>
        <v>75625</v>
      </c>
      <c r="G1226" s="225">
        <f t="shared" ref="G1226:J1226" si="345">SUM(G1204:G1225)</f>
        <v>32</v>
      </c>
      <c r="H1226" s="227">
        <f t="shared" si="345"/>
        <v>6400</v>
      </c>
      <c r="I1226" s="225">
        <f t="shared" si="345"/>
        <v>0</v>
      </c>
      <c r="J1226" s="227">
        <f t="shared" si="345"/>
        <v>157670</v>
      </c>
      <c r="K1226" s="306"/>
      <c r="L1226" s="307">
        <f>SUM(L1204:L1225)</f>
        <v>148500</v>
      </c>
    </row>
    <row r="1227" spans="1:12">
      <c r="A1227" s="228" t="s">
        <v>88</v>
      </c>
      <c r="B1227" s="229"/>
      <c r="C1227" s="230"/>
      <c r="D1227" s="205"/>
      <c r="E1227" s="195"/>
      <c r="F1227" s="195"/>
      <c r="G1227" s="231"/>
      <c r="H1227" s="195"/>
      <c r="I1227" s="195"/>
      <c r="J1227" s="230"/>
      <c r="K1227" s="309"/>
      <c r="L1227" s="291"/>
    </row>
    <row r="1228" spans="1:12">
      <c r="A1228" s="176" t="s">
        <v>89</v>
      </c>
      <c r="B1228" s="199">
        <v>46094</v>
      </c>
      <c r="C1228" s="204" t="s">
        <v>90</v>
      </c>
      <c r="D1228" s="205" t="s">
        <v>1056</v>
      </c>
      <c r="E1228" s="206">
        <v>10000</v>
      </c>
      <c r="F1228" s="195"/>
      <c r="G1228" s="232">
        <v>2</v>
      </c>
      <c r="H1228" s="197">
        <f t="shared" ref="H1228:H1232" si="346">SUM(G1228*200)</f>
        <v>400</v>
      </c>
      <c r="I1228" s="206"/>
      <c r="J1228" s="282">
        <v>10400</v>
      </c>
      <c r="K1228" s="288" t="s">
        <v>92</v>
      </c>
      <c r="L1228" s="291">
        <v>10000</v>
      </c>
    </row>
    <row r="1229" spans="1:12">
      <c r="A1229" s="176" t="s">
        <v>93</v>
      </c>
      <c r="B1229" s="199">
        <v>46114</v>
      </c>
      <c r="C1229" s="207" t="s">
        <v>94</v>
      </c>
      <c r="D1229" s="177" t="s">
        <v>1973</v>
      </c>
      <c r="E1229" s="212">
        <v>10000</v>
      </c>
      <c r="F1229" s="233"/>
      <c r="G1229" s="210">
        <v>2</v>
      </c>
      <c r="H1229" s="197">
        <f t="shared" si="346"/>
        <v>400</v>
      </c>
      <c r="I1229" s="202"/>
      <c r="J1229" s="282">
        <v>10400</v>
      </c>
      <c r="K1229" s="310" t="s">
        <v>96</v>
      </c>
      <c r="L1229" s="284">
        <v>6000</v>
      </c>
    </row>
    <row r="1230" spans="1:12">
      <c r="A1230" s="176" t="s">
        <v>97</v>
      </c>
      <c r="B1230" s="199">
        <v>46094</v>
      </c>
      <c r="C1230" s="204" t="s">
        <v>98</v>
      </c>
      <c r="D1230" s="205" t="s">
        <v>1974</v>
      </c>
      <c r="E1230" s="234">
        <v>12000</v>
      </c>
      <c r="F1230" s="235"/>
      <c r="G1230" s="232">
        <v>2</v>
      </c>
      <c r="H1230" s="197">
        <f t="shared" si="346"/>
        <v>400</v>
      </c>
      <c r="I1230" s="206"/>
      <c r="J1230" s="282">
        <v>12400</v>
      </c>
      <c r="K1230" s="288" t="s">
        <v>99</v>
      </c>
      <c r="L1230" s="291">
        <v>12000</v>
      </c>
    </row>
    <row r="1231" spans="1:12">
      <c r="A1231" s="176" t="s">
        <v>100</v>
      </c>
      <c r="B1231" s="199"/>
      <c r="C1231" s="236" t="s">
        <v>162</v>
      </c>
      <c r="D1231" s="205"/>
      <c r="E1231" s="212"/>
      <c r="F1231" s="195"/>
      <c r="G1231" s="210"/>
      <c r="H1231" s="197"/>
      <c r="I1231" s="212"/>
      <c r="J1231" s="282"/>
      <c r="K1231" s="295"/>
      <c r="L1231" s="284"/>
    </row>
    <row r="1232" spans="1:12">
      <c r="A1232" s="176" t="s">
        <v>104</v>
      </c>
      <c r="B1232" s="339">
        <v>46116</v>
      </c>
      <c r="C1232" s="237" t="s">
        <v>1575</v>
      </c>
      <c r="D1232" s="205" t="s">
        <v>1965</v>
      </c>
      <c r="E1232" s="206">
        <v>12000</v>
      </c>
      <c r="F1232" s="195"/>
      <c r="G1232" s="238">
        <v>4</v>
      </c>
      <c r="H1232" s="197">
        <f t="shared" si="346"/>
        <v>800</v>
      </c>
      <c r="I1232" s="219"/>
      <c r="J1232" s="282">
        <v>12800</v>
      </c>
      <c r="K1232" s="311" t="s">
        <v>107</v>
      </c>
      <c r="L1232" s="291">
        <v>12000</v>
      </c>
    </row>
    <row r="1233" spans="1:12" ht="15.75" thickBot="1">
      <c r="A1233" s="239"/>
      <c r="B1233" s="240"/>
      <c r="C1233" s="241" t="s">
        <v>108</v>
      </c>
      <c r="D1233" s="242"/>
      <c r="E1233" s="243">
        <f>SUM(E1228:E1231)</f>
        <v>32000</v>
      </c>
      <c r="F1233" s="226"/>
      <c r="G1233" s="226">
        <f>SUM(G1228:G1231)</f>
        <v>6</v>
      </c>
      <c r="H1233" s="226">
        <f>SUM(H1228:H1231)</f>
        <v>1200</v>
      </c>
      <c r="I1233" s="243">
        <f>SUM(I1228:I1231)</f>
        <v>0</v>
      </c>
      <c r="J1233" s="226">
        <f>SUM(J1228:J1231)</f>
        <v>33200</v>
      </c>
      <c r="K1233" s="306"/>
      <c r="L1233" s="312">
        <f>SUM(L1228:L1232)</f>
        <v>40000</v>
      </c>
    </row>
    <row r="1234" spans="1:12">
      <c r="A1234" s="228" t="s">
        <v>109</v>
      </c>
      <c r="B1234" s="244"/>
      <c r="C1234" s="245"/>
      <c r="D1234" s="205"/>
      <c r="E1234" s="195"/>
      <c r="F1234" s="195"/>
      <c r="G1234" s="231"/>
      <c r="H1234" s="195"/>
      <c r="I1234" s="195"/>
      <c r="J1234" s="195"/>
      <c r="K1234" s="309"/>
      <c r="L1234" s="313"/>
    </row>
    <row r="1235" spans="1:12" ht="15.75" thickBot="1">
      <c r="A1235" s="246" t="s">
        <v>110</v>
      </c>
      <c r="B1235" s="247"/>
      <c r="C1235" s="248" t="s">
        <v>111</v>
      </c>
      <c r="D1235" s="242"/>
      <c r="E1235" s="243"/>
      <c r="F1235" s="226"/>
      <c r="G1235" s="249"/>
      <c r="H1235" s="226"/>
      <c r="I1235" s="243"/>
      <c r="J1235" s="226"/>
      <c r="K1235" s="306"/>
      <c r="L1235" s="312"/>
    </row>
    <row r="1236" spans="1:12">
      <c r="A1236" s="228" t="s">
        <v>112</v>
      </c>
      <c r="B1236" s="250"/>
      <c r="C1236" s="245"/>
      <c r="D1236" s="205"/>
      <c r="E1236" s="195"/>
      <c r="F1236" s="195"/>
      <c r="G1236" s="231"/>
      <c r="H1236" s="195"/>
      <c r="I1236" s="195"/>
      <c r="J1236" s="195"/>
      <c r="K1236" s="309"/>
      <c r="L1236" s="313"/>
    </row>
    <row r="1237" spans="1:12">
      <c r="A1237" s="176" t="s">
        <v>113</v>
      </c>
      <c r="B1237" s="199">
        <v>46078</v>
      </c>
      <c r="C1237" s="251" t="s">
        <v>114</v>
      </c>
      <c r="D1237" s="177" t="s">
        <v>1969</v>
      </c>
      <c r="E1237" s="206">
        <v>12600</v>
      </c>
      <c r="F1237" s="230"/>
      <c r="G1237" s="209">
        <v>2</v>
      </c>
      <c r="H1237" s="197">
        <f t="shared" ref="H1237:H1239" si="347">SUM(G1237*200)</f>
        <v>400</v>
      </c>
      <c r="I1237" s="314"/>
      <c r="J1237" s="282">
        <v>12400</v>
      </c>
      <c r="K1237" s="295" t="s">
        <v>115</v>
      </c>
      <c r="L1237" s="291">
        <v>12000</v>
      </c>
    </row>
    <row r="1238" spans="1:12">
      <c r="A1238" s="176" t="s">
        <v>116</v>
      </c>
      <c r="B1238" s="199">
        <v>46086</v>
      </c>
      <c r="C1238" s="252" t="s">
        <v>117</v>
      </c>
      <c r="D1238" s="205" t="s">
        <v>1975</v>
      </c>
      <c r="E1238" s="206">
        <v>7000</v>
      </c>
      <c r="F1238" s="195"/>
      <c r="G1238" s="209">
        <v>1</v>
      </c>
      <c r="H1238" s="197">
        <f t="shared" si="347"/>
        <v>200</v>
      </c>
      <c r="I1238" s="314"/>
      <c r="J1238" s="282">
        <v>7200</v>
      </c>
      <c r="K1238" s="288" t="s">
        <v>119</v>
      </c>
      <c r="L1238" s="291">
        <v>7000</v>
      </c>
    </row>
    <row r="1239" spans="1:12">
      <c r="A1239" s="176" t="s">
        <v>120</v>
      </c>
      <c r="B1239" s="199">
        <v>46101</v>
      </c>
      <c r="C1239" s="253" t="s">
        <v>121</v>
      </c>
      <c r="D1239" s="177" t="s">
        <v>1967</v>
      </c>
      <c r="E1239" s="209">
        <v>10000</v>
      </c>
      <c r="F1239" s="254"/>
      <c r="G1239" s="209">
        <v>2</v>
      </c>
      <c r="H1239" s="197">
        <f t="shared" si="347"/>
        <v>400</v>
      </c>
      <c r="I1239" s="315"/>
      <c r="J1239" s="254">
        <v>10400</v>
      </c>
      <c r="K1239" s="316" t="s">
        <v>122</v>
      </c>
      <c r="L1239" s="291">
        <v>10000</v>
      </c>
    </row>
    <row r="1240" spans="1:12" ht="15.75" thickBot="1">
      <c r="A1240" s="246"/>
      <c r="B1240" s="247"/>
      <c r="C1240" s="255"/>
      <c r="D1240" s="242"/>
      <c r="E1240" s="256">
        <f>SUM(E1237:E1239)</f>
        <v>29600</v>
      </c>
      <c r="F1240" s="257"/>
      <c r="G1240" s="256">
        <f>SUM(G1237:G1239)</f>
        <v>5</v>
      </c>
      <c r="H1240" s="257">
        <f>SUM(H1237:H1239)</f>
        <v>1000</v>
      </c>
      <c r="I1240" s="257">
        <f>SUM(I1237:I1239)</f>
        <v>0</v>
      </c>
      <c r="J1240" s="257">
        <f>SUM(J1237:J1239)</f>
        <v>30000</v>
      </c>
      <c r="K1240" s="317"/>
      <c r="L1240" s="312">
        <f>SUM(L1237:L1239)</f>
        <v>29000</v>
      </c>
    </row>
    <row r="1241" spans="1:12">
      <c r="B1241" s="244"/>
      <c r="C1241" s="80"/>
      <c r="D1241" s="258"/>
      <c r="E1241" s="259">
        <f>SUM(E1226,E1233,E1235,E1240)</f>
        <v>212850</v>
      </c>
      <c r="F1241" s="260"/>
      <c r="G1241" s="259">
        <f>SUM(G1226,G1233,G1235,G1240)</f>
        <v>43</v>
      </c>
      <c r="H1241" s="259">
        <f>SUM(H1226,H1233,H1235,H1240)</f>
        <v>8600</v>
      </c>
      <c r="I1241" s="318">
        <f>SUM(I1226,I1233,I1235,I1240)</f>
        <v>0</v>
      </c>
      <c r="J1241" s="259">
        <f>SUM(J1226,J1233,J1235,J1240)</f>
        <v>220870</v>
      </c>
      <c r="K1241" s="319"/>
      <c r="L1241" s="291"/>
    </row>
    <row r="1242" spans="1:12">
      <c r="A1242" s="228" t="s">
        <v>123</v>
      </c>
      <c r="B1242" s="261"/>
      <c r="C1242" s="262"/>
      <c r="D1242" s="15"/>
      <c r="E1242" s="195"/>
      <c r="F1242" s="263" t="s">
        <v>124</v>
      </c>
      <c r="G1242" s="264"/>
      <c r="H1242" s="195"/>
      <c r="I1242" s="195"/>
      <c r="J1242" s="230"/>
      <c r="K1242" s="309"/>
      <c r="L1242" s="284"/>
    </row>
    <row r="1243" spans="1:12">
      <c r="A1243" s="176" t="s">
        <v>125</v>
      </c>
      <c r="B1243" s="199">
        <v>46099</v>
      </c>
      <c r="C1243" s="265" t="s">
        <v>126</v>
      </c>
      <c r="D1243" s="205" t="s">
        <v>1976</v>
      </c>
      <c r="E1243" s="202">
        <v>5000</v>
      </c>
      <c r="F1243" s="266">
        <v>325</v>
      </c>
      <c r="G1243" s="203">
        <v>2</v>
      </c>
      <c r="H1243" s="266">
        <f t="shared" ref="H1243:H1244" si="348">SUM(G1243*200)</f>
        <v>400</v>
      </c>
      <c r="I1243" s="202"/>
      <c r="J1243" s="282">
        <v>5400</v>
      </c>
      <c r="K1243" s="319" t="s">
        <v>128</v>
      </c>
      <c r="L1243" s="284">
        <v>5000</v>
      </c>
    </row>
    <row r="1244" spans="1:12">
      <c r="A1244" s="176" t="s">
        <v>129</v>
      </c>
      <c r="B1244" s="199">
        <v>46114</v>
      </c>
      <c r="C1244" s="265" t="s">
        <v>130</v>
      </c>
      <c r="D1244" s="205" t="s">
        <v>1972</v>
      </c>
      <c r="E1244" s="206">
        <v>5500</v>
      </c>
      <c r="F1244" s="195"/>
      <c r="G1244" s="203">
        <v>1</v>
      </c>
      <c r="H1244" s="266">
        <f t="shared" si="348"/>
        <v>200</v>
      </c>
      <c r="I1244" s="206"/>
      <c r="J1244" s="282">
        <f>SUM(E1244,H1244:I1244)</f>
        <v>5700</v>
      </c>
      <c r="K1244" s="319" t="s">
        <v>132</v>
      </c>
      <c r="L1244" s="291">
        <v>5500</v>
      </c>
    </row>
    <row r="1245" spans="1:12" ht="15.75" thickBot="1">
      <c r="A1245" s="267" t="s">
        <v>133</v>
      </c>
      <c r="B1245" s="268"/>
      <c r="C1245" s="269"/>
      <c r="D1245" s="242"/>
      <c r="E1245" s="270">
        <f>SUM(E1243:E1244)</f>
        <v>10500</v>
      </c>
      <c r="F1245" s="226">
        <f t="shared" ref="F1245:I1245" si="349">SUM(F1243:F1244)</f>
        <v>325</v>
      </c>
      <c r="G1245" s="243">
        <f t="shared" si="349"/>
        <v>3</v>
      </c>
      <c r="H1245" s="226">
        <f t="shared" si="349"/>
        <v>600</v>
      </c>
      <c r="I1245" s="320">
        <f t="shared" si="349"/>
        <v>0</v>
      </c>
      <c r="J1245" s="321">
        <f>SUM(F1245,H1245,I1245,)</f>
        <v>925</v>
      </c>
      <c r="K1245" s="322"/>
      <c r="L1245" s="322"/>
    </row>
    <row r="1246" spans="1:12">
      <c r="E1246" s="271" t="s">
        <v>134</v>
      </c>
      <c r="F1246" s="272">
        <f>SUM(F1241,F1245)</f>
        <v>325</v>
      </c>
      <c r="H1246" s="272">
        <f>SUM(H1241,H1245)</f>
        <v>9200</v>
      </c>
      <c r="I1246" s="324">
        <f>SUM(I1241,I1245)</f>
        <v>0</v>
      </c>
      <c r="J1246" s="325" t="s">
        <v>135</v>
      </c>
    </row>
    <row r="1247" spans="1:12">
      <c r="D1247" s="326">
        <f>SUM(E747,E791,E836,E881,E926,E971,E1016,E1061,E1106,E1151,E1196,E1241)</f>
        <v>282100</v>
      </c>
      <c r="E1247" s="326">
        <f>SUM(E732,E776,E821,E872,E911,E956,E1001,E1046,E1091,E1136,E1181,E1226)</f>
        <v>877800</v>
      </c>
    </row>
    <row r="1249" spans="1:12">
      <c r="A1249" s="340" t="s">
        <v>1806</v>
      </c>
    </row>
    <row r="1250" spans="1:12" ht="18.75" thickBot="1">
      <c r="A1250" s="185" t="s">
        <v>8</v>
      </c>
      <c r="B1250" s="348" t="s">
        <v>2012</v>
      </c>
      <c r="C1250" s="187"/>
    </row>
    <row r="1251" spans="1:12">
      <c r="A1251" s="190" t="s">
        <v>10</v>
      </c>
      <c r="B1251" s="191">
        <v>46140</v>
      </c>
      <c r="C1251" s="7" t="s">
        <v>2039</v>
      </c>
      <c r="D1251" s="193" t="s">
        <v>2013</v>
      </c>
      <c r="E1251" s="194">
        <v>8000</v>
      </c>
      <c r="F1251" s="195">
        <f>SUM(E1251*0.5)</f>
        <v>4000</v>
      </c>
      <c r="G1251" s="196">
        <v>1</v>
      </c>
      <c r="H1251" s="197">
        <f t="shared" ref="H1251:H1254" si="350">SUM(G1251*200)</f>
        <v>200</v>
      </c>
      <c r="I1251" s="194"/>
      <c r="J1251" s="279">
        <v>8200</v>
      </c>
      <c r="K1251" s="280" t="s">
        <v>13</v>
      </c>
      <c r="L1251" s="281">
        <v>8000</v>
      </c>
    </row>
    <row r="1252" spans="1:12">
      <c r="A1252" s="198" t="s">
        <v>14</v>
      </c>
      <c r="B1252" s="199">
        <v>46143</v>
      </c>
      <c r="C1252" s="201" t="s">
        <v>2040</v>
      </c>
      <c r="D1252" s="201" t="s">
        <v>2014</v>
      </c>
      <c r="E1252" s="202">
        <v>8500</v>
      </c>
      <c r="F1252" s="195">
        <f>SUM(E1252*0.5)</f>
        <v>4250</v>
      </c>
      <c r="G1252" s="203">
        <v>3</v>
      </c>
      <c r="H1252" s="197">
        <f t="shared" si="350"/>
        <v>600</v>
      </c>
      <c r="I1252" s="206"/>
      <c r="J1252" s="282">
        <v>9100</v>
      </c>
      <c r="K1252" s="283" t="s">
        <v>314</v>
      </c>
      <c r="L1252" s="284">
        <v>8500</v>
      </c>
    </row>
    <row r="1253" spans="1:12">
      <c r="A1253" s="190" t="s">
        <v>18</v>
      </c>
      <c r="B1253" s="199">
        <v>46139</v>
      </c>
      <c r="C1253" s="14" t="s">
        <v>2041</v>
      </c>
      <c r="D1253" s="205" t="s">
        <v>2015</v>
      </c>
      <c r="E1253" s="202">
        <v>8000</v>
      </c>
      <c r="F1253" s="195">
        <f t="shared" ref="F1253:F1254" si="351">SUM(E1253*0.5)</f>
        <v>4000</v>
      </c>
      <c r="G1253" s="203">
        <v>1</v>
      </c>
      <c r="H1253" s="197">
        <f t="shared" si="350"/>
        <v>200</v>
      </c>
      <c r="I1253" s="206"/>
      <c r="J1253" s="282">
        <f>SUM(E1253,H1253:I1253)</f>
        <v>8200</v>
      </c>
      <c r="K1253" s="288" t="s">
        <v>21</v>
      </c>
      <c r="L1253" s="284">
        <v>8000</v>
      </c>
    </row>
    <row r="1254" spans="1:12" ht="25.5">
      <c r="A1254" s="190" t="s">
        <v>22</v>
      </c>
      <c r="B1254" s="199">
        <v>46118</v>
      </c>
      <c r="C1254" s="26" t="s">
        <v>2029</v>
      </c>
      <c r="D1254" s="205" t="s">
        <v>2016</v>
      </c>
      <c r="E1254" s="206">
        <v>7250</v>
      </c>
      <c r="F1254" s="195">
        <f t="shared" si="351"/>
        <v>3625</v>
      </c>
      <c r="G1254" s="203">
        <v>1</v>
      </c>
      <c r="H1254" s="197">
        <f t="shared" si="350"/>
        <v>200</v>
      </c>
      <c r="I1254" s="206"/>
      <c r="J1254" s="282">
        <v>7450</v>
      </c>
      <c r="K1254" s="290" t="s">
        <v>25</v>
      </c>
      <c r="L1254" s="291">
        <v>5000</v>
      </c>
    </row>
    <row r="1255" spans="1:12">
      <c r="A1255" s="190" t="s">
        <v>26</v>
      </c>
      <c r="B1255" s="199">
        <v>46127</v>
      </c>
      <c r="C1255" s="208" t="s">
        <v>2042</v>
      </c>
      <c r="D1255" s="205" t="s">
        <v>2018</v>
      </c>
      <c r="E1255" s="209">
        <v>6000</v>
      </c>
      <c r="F1255" s="195">
        <v>3000</v>
      </c>
      <c r="G1255" s="210">
        <v>1</v>
      </c>
      <c r="H1255" s="197">
        <v>200</v>
      </c>
      <c r="I1255" s="209"/>
      <c r="J1255" s="254">
        <v>6200</v>
      </c>
      <c r="K1255" s="288" t="s">
        <v>2031</v>
      </c>
      <c r="L1255" s="291">
        <v>6000</v>
      </c>
    </row>
    <row r="1256" spans="1:12">
      <c r="A1256" s="190" t="s">
        <v>30</v>
      </c>
      <c r="B1256" s="199">
        <v>46138</v>
      </c>
      <c r="C1256" s="363" t="s">
        <v>2043</v>
      </c>
      <c r="D1256" s="205" t="s">
        <v>2017</v>
      </c>
      <c r="E1256" s="209">
        <v>6500</v>
      </c>
      <c r="F1256" s="195">
        <v>3250</v>
      </c>
      <c r="G1256" s="210">
        <v>3</v>
      </c>
      <c r="H1256" s="197">
        <v>600</v>
      </c>
      <c r="I1256" s="209"/>
      <c r="J1256" s="254">
        <v>7100</v>
      </c>
      <c r="K1256" s="294" t="s">
        <v>1344</v>
      </c>
      <c r="L1256" s="287">
        <v>6500</v>
      </c>
    </row>
    <row r="1257" spans="1:12">
      <c r="A1257" s="190" t="s">
        <v>33</v>
      </c>
      <c r="B1257" s="199">
        <v>46141</v>
      </c>
      <c r="C1257" s="14" t="s">
        <v>2044</v>
      </c>
      <c r="D1257" s="205" t="s">
        <v>2015</v>
      </c>
      <c r="E1257" s="202">
        <v>6500</v>
      </c>
      <c r="F1257" s="195">
        <f t="shared" ref="F1257" si="352">SUM(E1257*0.5)</f>
        <v>3250</v>
      </c>
      <c r="G1257" s="210">
        <v>1</v>
      </c>
      <c r="H1257" s="197">
        <f t="shared" ref="H1257" si="353">SUM(G1257*200)</f>
        <v>200</v>
      </c>
      <c r="I1257" s="202"/>
      <c r="J1257" s="197">
        <v>6700</v>
      </c>
      <c r="K1257" s="288" t="s">
        <v>2035</v>
      </c>
      <c r="L1257" s="284">
        <v>6500</v>
      </c>
    </row>
    <row r="1258" spans="1:12">
      <c r="A1258" s="190" t="s">
        <v>35</v>
      </c>
      <c r="B1258" s="199"/>
      <c r="C1258" s="211" t="s">
        <v>162</v>
      </c>
      <c r="D1258" s="177"/>
      <c r="E1258" s="212"/>
      <c r="F1258" s="195"/>
      <c r="G1258" s="210"/>
      <c r="H1258" s="197"/>
      <c r="I1258" s="206"/>
      <c r="J1258" s="282"/>
      <c r="K1258" s="295"/>
      <c r="L1258" s="284"/>
    </row>
    <row r="1259" spans="1:12">
      <c r="A1259" s="213" t="s">
        <v>39</v>
      </c>
      <c r="B1259" s="199">
        <v>46139</v>
      </c>
      <c r="C1259" s="14" t="s">
        <v>2034</v>
      </c>
      <c r="D1259" s="205" t="s">
        <v>2019</v>
      </c>
      <c r="E1259" s="202">
        <v>8000</v>
      </c>
      <c r="F1259" s="195">
        <f t="shared" ref="F1259" si="354">SUM(E1259*0.5)</f>
        <v>4000</v>
      </c>
      <c r="G1259" s="203">
        <v>1</v>
      </c>
      <c r="H1259" s="197">
        <f t="shared" ref="H1259" si="355">SUM(G1259*200)</f>
        <v>200</v>
      </c>
      <c r="I1259" s="202"/>
      <c r="J1259" s="282">
        <v>8200</v>
      </c>
      <c r="K1259" s="288" t="s">
        <v>42</v>
      </c>
      <c r="L1259" s="284">
        <v>8000</v>
      </c>
    </row>
    <row r="1260" spans="1:12">
      <c r="A1260" s="213" t="s">
        <v>43</v>
      </c>
      <c r="B1260" s="199">
        <v>46129</v>
      </c>
      <c r="C1260" s="204" t="s">
        <v>2045</v>
      </c>
      <c r="D1260" s="14" t="s">
        <v>2020</v>
      </c>
      <c r="E1260" s="202">
        <v>8500</v>
      </c>
      <c r="F1260" s="195">
        <v>4250</v>
      </c>
      <c r="G1260" s="203">
        <v>2</v>
      </c>
      <c r="H1260" s="197">
        <v>400</v>
      </c>
      <c r="I1260" s="206"/>
      <c r="J1260" s="282">
        <v>8900</v>
      </c>
      <c r="K1260" s="288" t="s">
        <v>1599</v>
      </c>
      <c r="L1260" s="284">
        <v>8500</v>
      </c>
    </row>
    <row r="1261" spans="1:12">
      <c r="A1261" s="213" t="s">
        <v>47</v>
      </c>
      <c r="B1261" s="199">
        <v>46139</v>
      </c>
      <c r="C1261" s="204" t="s">
        <v>2046</v>
      </c>
      <c r="D1261" s="205" t="s">
        <v>2017</v>
      </c>
      <c r="E1261" s="202">
        <v>8000</v>
      </c>
      <c r="F1261" s="195">
        <f t="shared" ref="F1261:F1268" si="356">SUM(E1261*0.5)</f>
        <v>4000</v>
      </c>
      <c r="G1261" s="203">
        <v>1</v>
      </c>
      <c r="H1261" s="197">
        <f t="shared" ref="H1261:H1269" si="357">SUM(G1261*200)</f>
        <v>200</v>
      </c>
      <c r="I1261" s="202"/>
      <c r="J1261" s="282">
        <v>8200</v>
      </c>
      <c r="K1261" s="288" t="s">
        <v>50</v>
      </c>
      <c r="L1261" s="291">
        <v>8000</v>
      </c>
    </row>
    <row r="1262" spans="1:12">
      <c r="A1262" s="213" t="s">
        <v>51</v>
      </c>
      <c r="B1262" s="199">
        <v>46141</v>
      </c>
      <c r="C1262" s="204" t="s">
        <v>2047</v>
      </c>
      <c r="D1262" s="205" t="s">
        <v>2018</v>
      </c>
      <c r="E1262" s="212">
        <v>8500</v>
      </c>
      <c r="F1262" s="195">
        <f t="shared" si="356"/>
        <v>4250</v>
      </c>
      <c r="G1262" s="210">
        <v>2</v>
      </c>
      <c r="H1262" s="197">
        <f t="shared" si="357"/>
        <v>400</v>
      </c>
      <c r="I1262" s="212"/>
      <c r="J1262" s="282">
        <v>8920</v>
      </c>
      <c r="K1262" s="295" t="s">
        <v>577</v>
      </c>
      <c r="L1262" s="284">
        <v>8500</v>
      </c>
    </row>
    <row r="1263" spans="1:12">
      <c r="A1263" s="213" t="s">
        <v>55</v>
      </c>
      <c r="B1263" s="199">
        <v>46147</v>
      </c>
      <c r="C1263" s="204" t="s">
        <v>2048</v>
      </c>
      <c r="D1263" s="205" t="s">
        <v>2017</v>
      </c>
      <c r="E1263" s="202">
        <v>7500</v>
      </c>
      <c r="F1263" s="195">
        <f t="shared" si="356"/>
        <v>3750</v>
      </c>
      <c r="G1263" s="203">
        <v>2</v>
      </c>
      <c r="H1263" s="197">
        <f t="shared" si="357"/>
        <v>400</v>
      </c>
      <c r="I1263" s="206"/>
      <c r="J1263" s="282">
        <v>7900</v>
      </c>
      <c r="K1263" s="288" t="s">
        <v>57</v>
      </c>
      <c r="L1263" s="284">
        <v>7500</v>
      </c>
    </row>
    <row r="1264" spans="1:12">
      <c r="A1264" s="213" t="s">
        <v>58</v>
      </c>
      <c r="B1264" s="199">
        <v>46146</v>
      </c>
      <c r="C1264" s="204" t="s">
        <v>2049</v>
      </c>
      <c r="D1264" s="205" t="s">
        <v>2016</v>
      </c>
      <c r="E1264" s="202">
        <v>6500</v>
      </c>
      <c r="F1264" s="195">
        <f t="shared" si="356"/>
        <v>3250</v>
      </c>
      <c r="G1264" s="203">
        <v>1</v>
      </c>
      <c r="H1264" s="197">
        <f t="shared" si="357"/>
        <v>200</v>
      </c>
      <c r="I1264" s="206"/>
      <c r="J1264" s="254">
        <v>6700</v>
      </c>
      <c r="K1264" s="296" t="s">
        <v>378</v>
      </c>
      <c r="L1264" s="284">
        <v>6500</v>
      </c>
    </row>
    <row r="1265" spans="1:12">
      <c r="A1265" s="213" t="s">
        <v>60</v>
      </c>
      <c r="B1265" s="199">
        <v>46143</v>
      </c>
      <c r="C1265" s="14" t="s">
        <v>2050</v>
      </c>
      <c r="D1265" s="205" t="s">
        <v>2021</v>
      </c>
      <c r="E1265" s="202">
        <v>6500</v>
      </c>
      <c r="F1265" s="195">
        <f t="shared" si="356"/>
        <v>3250</v>
      </c>
      <c r="G1265" s="203">
        <v>1</v>
      </c>
      <c r="H1265" s="197">
        <f t="shared" si="357"/>
        <v>200</v>
      </c>
      <c r="I1265" s="206"/>
      <c r="J1265" s="254">
        <v>6700</v>
      </c>
      <c r="K1265" s="295" t="s">
        <v>1725</v>
      </c>
      <c r="L1265" s="284">
        <v>6500</v>
      </c>
    </row>
    <row r="1266" spans="1:12">
      <c r="A1266" s="214" t="s">
        <v>63</v>
      </c>
      <c r="B1266" s="199">
        <v>46144</v>
      </c>
      <c r="C1266" s="204" t="s">
        <v>2051</v>
      </c>
      <c r="D1266" s="205" t="s">
        <v>2022</v>
      </c>
      <c r="E1266" s="206">
        <v>9000</v>
      </c>
      <c r="F1266" s="195">
        <f t="shared" si="356"/>
        <v>4500</v>
      </c>
      <c r="G1266" s="203">
        <v>2</v>
      </c>
      <c r="H1266" s="197">
        <f t="shared" si="357"/>
        <v>400</v>
      </c>
      <c r="I1266" s="206"/>
      <c r="J1266" s="282">
        <v>9400</v>
      </c>
      <c r="K1266" s="288" t="s">
        <v>584</v>
      </c>
      <c r="L1266" s="291">
        <v>9000</v>
      </c>
    </row>
    <row r="1267" spans="1:12">
      <c r="A1267" s="214" t="s">
        <v>67</v>
      </c>
      <c r="B1267" s="199"/>
      <c r="C1267" s="14" t="s">
        <v>162</v>
      </c>
      <c r="D1267" s="205"/>
      <c r="E1267" s="206"/>
      <c r="F1267" s="195"/>
      <c r="G1267" s="203"/>
      <c r="H1267" s="197"/>
      <c r="I1267" s="206"/>
      <c r="J1267" s="282"/>
      <c r="K1267" s="295"/>
      <c r="L1267" s="284"/>
    </row>
    <row r="1268" spans="1:12">
      <c r="A1268" s="214" t="s">
        <v>71</v>
      </c>
      <c r="B1268" s="199">
        <v>46144</v>
      </c>
      <c r="C1268" s="204" t="s">
        <v>2052</v>
      </c>
      <c r="D1268" s="205" t="s">
        <v>2021</v>
      </c>
      <c r="E1268" s="206">
        <v>8500</v>
      </c>
      <c r="F1268" s="195">
        <f t="shared" si="356"/>
        <v>4250</v>
      </c>
      <c r="G1268" s="203">
        <v>2</v>
      </c>
      <c r="H1268" s="197">
        <f t="shared" si="357"/>
        <v>400</v>
      </c>
      <c r="I1268" s="206"/>
      <c r="J1268" s="282">
        <v>8900</v>
      </c>
      <c r="K1268" s="288" t="s">
        <v>383</v>
      </c>
      <c r="L1268" s="291">
        <v>8500</v>
      </c>
    </row>
    <row r="1269" spans="1:12">
      <c r="A1269" s="214" t="s">
        <v>74</v>
      </c>
      <c r="B1269" s="199">
        <v>46127</v>
      </c>
      <c r="C1269" s="14" t="s">
        <v>2053</v>
      </c>
      <c r="D1269" s="205" t="s">
        <v>2018</v>
      </c>
      <c r="E1269" s="206">
        <v>8500</v>
      </c>
      <c r="F1269" s="195">
        <f t="shared" ref="F1269" si="358">SUM(E1269*0.5)</f>
        <v>4250</v>
      </c>
      <c r="G1269" s="203">
        <v>1</v>
      </c>
      <c r="H1269" s="197">
        <f t="shared" si="357"/>
        <v>200</v>
      </c>
      <c r="I1269" s="206"/>
      <c r="J1269" s="282">
        <v>8700</v>
      </c>
      <c r="K1269" s="288" t="s">
        <v>2032</v>
      </c>
      <c r="L1269" s="291">
        <v>8500</v>
      </c>
    </row>
    <row r="1270" spans="1:12">
      <c r="A1270" s="214" t="s">
        <v>77</v>
      </c>
      <c r="B1270" s="199">
        <v>46121</v>
      </c>
      <c r="C1270" s="208" t="s">
        <v>2030</v>
      </c>
      <c r="D1270" s="205" t="s">
        <v>2019</v>
      </c>
      <c r="E1270" s="206">
        <v>8000</v>
      </c>
      <c r="F1270" s="195">
        <f t="shared" ref="F1270:F1272" si="359">SUM(E1270*0.5)</f>
        <v>4000</v>
      </c>
      <c r="G1270" s="203">
        <v>2</v>
      </c>
      <c r="H1270" s="197">
        <f t="shared" ref="H1270:H1271" si="360">SUM(G1270*200)</f>
        <v>400</v>
      </c>
      <c r="I1270" s="206"/>
      <c r="J1270" s="282">
        <v>8400</v>
      </c>
      <c r="K1270" s="288" t="s">
        <v>340</v>
      </c>
      <c r="L1270" s="291">
        <v>8000</v>
      </c>
    </row>
    <row r="1271" spans="1:12">
      <c r="A1271" s="214" t="s">
        <v>81</v>
      </c>
      <c r="B1271" s="199">
        <v>46137</v>
      </c>
      <c r="C1271" s="208" t="s">
        <v>2033</v>
      </c>
      <c r="D1271" s="177" t="s">
        <v>2023</v>
      </c>
      <c r="E1271" s="209">
        <v>6500</v>
      </c>
      <c r="F1271" s="195">
        <f t="shared" si="359"/>
        <v>3250</v>
      </c>
      <c r="G1271" s="210">
        <v>1</v>
      </c>
      <c r="H1271" s="197">
        <f t="shared" si="360"/>
        <v>200</v>
      </c>
      <c r="I1271" s="206"/>
      <c r="J1271" s="282">
        <v>6700</v>
      </c>
      <c r="K1271" s="295" t="s">
        <v>1904</v>
      </c>
      <c r="L1271" s="291">
        <v>6500</v>
      </c>
    </row>
    <row r="1272" spans="1:12">
      <c r="A1272" s="215" t="s">
        <v>84</v>
      </c>
      <c r="B1272" s="216">
        <v>46138</v>
      </c>
      <c r="C1272" s="208" t="s">
        <v>2054</v>
      </c>
      <c r="D1272" s="208" t="s">
        <v>2015</v>
      </c>
      <c r="E1272" s="209">
        <v>6500</v>
      </c>
      <c r="F1272" s="195">
        <f t="shared" si="359"/>
        <v>3250</v>
      </c>
      <c r="G1272" s="210">
        <v>2</v>
      </c>
      <c r="H1272" s="197">
        <v>400</v>
      </c>
      <c r="I1272" s="209"/>
      <c r="J1272" s="254">
        <v>6900</v>
      </c>
      <c r="K1272" s="24" t="s">
        <v>1300</v>
      </c>
      <c r="L1272" s="287">
        <v>6000</v>
      </c>
    </row>
    <row r="1273" spans="1:12" ht="15.75" thickBot="1">
      <c r="A1273" s="221"/>
      <c r="B1273" s="222"/>
      <c r="C1273" s="223"/>
      <c r="D1273" s="224"/>
      <c r="E1273" s="225">
        <f>SUM(E1251:E1272)</f>
        <v>151250</v>
      </c>
      <c r="F1273" s="226">
        <f>SUM(F1251:F1272)</f>
        <v>75625</v>
      </c>
      <c r="G1273" s="225">
        <f t="shared" ref="G1273:J1273" si="361">SUM(G1251:G1272)</f>
        <v>31</v>
      </c>
      <c r="H1273" s="227">
        <f t="shared" si="361"/>
        <v>6200</v>
      </c>
      <c r="I1273" s="225">
        <f t="shared" si="361"/>
        <v>0</v>
      </c>
      <c r="J1273" s="227">
        <f t="shared" si="361"/>
        <v>157470</v>
      </c>
      <c r="K1273" s="306"/>
      <c r="L1273" s="307">
        <f>SUM(L1251:L1272)</f>
        <v>148500</v>
      </c>
    </row>
    <row r="1274" spans="1:12">
      <c r="A1274" s="228" t="s">
        <v>88</v>
      </c>
      <c r="B1274" s="229"/>
      <c r="C1274" s="230"/>
      <c r="D1274" s="205"/>
      <c r="E1274" s="195"/>
      <c r="F1274" s="195"/>
      <c r="G1274" s="231"/>
      <c r="H1274" s="195"/>
      <c r="I1274" s="195"/>
      <c r="J1274" s="230"/>
      <c r="K1274" s="309"/>
      <c r="L1274" s="291"/>
    </row>
    <row r="1275" spans="1:12">
      <c r="A1275" s="176" t="s">
        <v>89</v>
      </c>
      <c r="B1275" s="199">
        <v>46125</v>
      </c>
      <c r="C1275" s="204" t="s">
        <v>90</v>
      </c>
      <c r="D1275" s="205" t="s">
        <v>1105</v>
      </c>
      <c r="E1275" s="206">
        <v>10000</v>
      </c>
      <c r="F1275" s="195"/>
      <c r="G1275" s="232">
        <v>2</v>
      </c>
      <c r="H1275" s="197">
        <f t="shared" ref="H1275:H1277" si="362">SUM(G1275*200)</f>
        <v>400</v>
      </c>
      <c r="I1275" s="206"/>
      <c r="J1275" s="282">
        <v>10400</v>
      </c>
      <c r="K1275" s="288" t="s">
        <v>92</v>
      </c>
      <c r="L1275" s="291">
        <v>10000</v>
      </c>
    </row>
    <row r="1276" spans="1:12">
      <c r="A1276" s="176" t="s">
        <v>93</v>
      </c>
      <c r="B1276" s="199">
        <v>46129</v>
      </c>
      <c r="C1276" s="207" t="s">
        <v>94</v>
      </c>
      <c r="D1276" s="177" t="s">
        <v>2024</v>
      </c>
      <c r="E1276" s="212">
        <v>10000</v>
      </c>
      <c r="F1276" s="233"/>
      <c r="G1276" s="210">
        <v>2</v>
      </c>
      <c r="H1276" s="197">
        <f t="shared" si="362"/>
        <v>400</v>
      </c>
      <c r="I1276" s="202"/>
      <c r="J1276" s="282">
        <v>10400</v>
      </c>
      <c r="K1276" s="310" t="s">
        <v>96</v>
      </c>
      <c r="L1276" s="284">
        <v>6000</v>
      </c>
    </row>
    <row r="1277" spans="1:12">
      <c r="A1277" s="176" t="s">
        <v>97</v>
      </c>
      <c r="B1277" s="199">
        <v>46129</v>
      </c>
      <c r="C1277" s="204" t="s">
        <v>98</v>
      </c>
      <c r="D1277" s="205" t="s">
        <v>2025</v>
      </c>
      <c r="E1277" s="234">
        <v>12000</v>
      </c>
      <c r="F1277" s="235"/>
      <c r="G1277" s="232">
        <v>2</v>
      </c>
      <c r="H1277" s="197">
        <f t="shared" si="362"/>
        <v>400</v>
      </c>
      <c r="I1277" s="206"/>
      <c r="J1277" s="282">
        <v>12400</v>
      </c>
      <c r="K1277" s="288" t="s">
        <v>99</v>
      </c>
      <c r="L1277" s="291">
        <v>12000</v>
      </c>
    </row>
    <row r="1278" spans="1:12">
      <c r="A1278" s="176" t="s">
        <v>100</v>
      </c>
      <c r="B1278" s="199">
        <v>46124</v>
      </c>
      <c r="C1278" s="236" t="s">
        <v>2036</v>
      </c>
      <c r="D1278" s="205" t="s">
        <v>2037</v>
      </c>
      <c r="E1278" s="212">
        <v>12000</v>
      </c>
      <c r="F1278" s="195"/>
      <c r="G1278" s="210">
        <v>2</v>
      </c>
      <c r="H1278" s="197">
        <v>400</v>
      </c>
      <c r="I1278" s="212"/>
      <c r="J1278" s="282">
        <v>12400</v>
      </c>
      <c r="K1278" s="295" t="s">
        <v>2038</v>
      </c>
      <c r="L1278" s="284">
        <v>12000</v>
      </c>
    </row>
    <row r="1279" spans="1:12">
      <c r="A1279" s="176" t="s">
        <v>104</v>
      </c>
      <c r="B1279" s="339">
        <v>46146</v>
      </c>
      <c r="C1279" s="237" t="s">
        <v>1575</v>
      </c>
      <c r="D1279" s="205" t="s">
        <v>2021</v>
      </c>
      <c r="E1279" s="206">
        <v>12000</v>
      </c>
      <c r="F1279" s="195"/>
      <c r="G1279" s="238">
        <v>4</v>
      </c>
      <c r="H1279" s="197">
        <f t="shared" ref="H1279" si="363">SUM(G1279*200)</f>
        <v>800</v>
      </c>
      <c r="I1279" s="219"/>
      <c r="J1279" s="282">
        <v>12800</v>
      </c>
      <c r="K1279" s="311" t="s">
        <v>107</v>
      </c>
      <c r="L1279" s="291">
        <v>12000</v>
      </c>
    </row>
    <row r="1280" spans="1:12" ht="15.75" thickBot="1">
      <c r="A1280" s="239"/>
      <c r="B1280" s="240"/>
      <c r="C1280" s="241" t="s">
        <v>108</v>
      </c>
      <c r="D1280" s="242"/>
      <c r="E1280" s="243">
        <f>SUM(E1275:E1278)</f>
        <v>44000</v>
      </c>
      <c r="F1280" s="226"/>
      <c r="G1280" s="226">
        <f>SUM(G1275:G1278)</f>
        <v>8</v>
      </c>
      <c r="H1280" s="226">
        <f>SUM(H1275:H1278)</f>
        <v>1600</v>
      </c>
      <c r="I1280" s="243">
        <f>SUM(I1275:I1278)</f>
        <v>0</v>
      </c>
      <c r="J1280" s="226">
        <f>SUM(J1275:J1278)</f>
        <v>45600</v>
      </c>
      <c r="K1280" s="306"/>
      <c r="L1280" s="312">
        <f>SUM(L1275:L1279)</f>
        <v>52000</v>
      </c>
    </row>
    <row r="1281" spans="1:12">
      <c r="A1281" s="228" t="s">
        <v>109</v>
      </c>
      <c r="B1281" s="244"/>
      <c r="C1281" s="245"/>
      <c r="D1281" s="205"/>
      <c r="E1281" s="195"/>
      <c r="F1281" s="195"/>
      <c r="G1281" s="231"/>
      <c r="H1281" s="195"/>
      <c r="I1281" s="195"/>
      <c r="J1281" s="195"/>
      <c r="K1281" s="309"/>
      <c r="L1281" s="313"/>
    </row>
    <row r="1282" spans="1:12" ht="15.75" thickBot="1">
      <c r="A1282" s="246" t="s">
        <v>110</v>
      </c>
      <c r="B1282" s="247"/>
      <c r="C1282" s="248" t="s">
        <v>111</v>
      </c>
      <c r="D1282" s="242"/>
      <c r="E1282" s="243"/>
      <c r="F1282" s="226"/>
      <c r="G1282" s="249"/>
      <c r="H1282" s="226"/>
      <c r="I1282" s="243"/>
      <c r="J1282" s="226"/>
      <c r="K1282" s="306"/>
      <c r="L1282" s="312"/>
    </row>
    <row r="1283" spans="1:12">
      <c r="A1283" s="228" t="s">
        <v>112</v>
      </c>
      <c r="B1283" s="250"/>
      <c r="C1283" s="245"/>
      <c r="D1283" s="205"/>
      <c r="E1283" s="195"/>
      <c r="F1283" s="195"/>
      <c r="G1283" s="231"/>
      <c r="H1283" s="195"/>
      <c r="I1283" s="195"/>
      <c r="J1283" s="195"/>
      <c r="K1283" s="309"/>
      <c r="L1283" s="313"/>
    </row>
    <row r="1284" spans="1:12">
      <c r="A1284" s="176" t="s">
        <v>113</v>
      </c>
      <c r="B1284" s="199">
        <v>46078</v>
      </c>
      <c r="C1284" s="251" t="s">
        <v>114</v>
      </c>
      <c r="D1284" s="177" t="s">
        <v>2019</v>
      </c>
      <c r="E1284" s="206">
        <v>12600</v>
      </c>
      <c r="F1284" s="230"/>
      <c r="G1284" s="209">
        <v>2</v>
      </c>
      <c r="H1284" s="197">
        <f t="shared" ref="H1284:H1286" si="364">SUM(G1284*200)</f>
        <v>400</v>
      </c>
      <c r="I1284" s="314"/>
      <c r="J1284" s="282">
        <v>12400</v>
      </c>
      <c r="K1284" s="295" t="s">
        <v>115</v>
      </c>
      <c r="L1284" s="291">
        <v>12000</v>
      </c>
    </row>
    <row r="1285" spans="1:12">
      <c r="A1285" s="176" t="s">
        <v>116</v>
      </c>
      <c r="B1285" s="199">
        <v>46122</v>
      </c>
      <c r="C1285" s="252" t="s">
        <v>117</v>
      </c>
      <c r="D1285" s="205" t="s">
        <v>2026</v>
      </c>
      <c r="E1285" s="206">
        <v>7000</v>
      </c>
      <c r="F1285" s="195"/>
      <c r="G1285" s="209">
        <v>1</v>
      </c>
      <c r="H1285" s="197">
        <f t="shared" si="364"/>
        <v>200</v>
      </c>
      <c r="I1285" s="314"/>
      <c r="J1285" s="282">
        <v>7200</v>
      </c>
      <c r="K1285" s="288" t="s">
        <v>119</v>
      </c>
      <c r="L1285" s="291">
        <v>7000</v>
      </c>
    </row>
    <row r="1286" spans="1:12">
      <c r="A1286" s="176" t="s">
        <v>120</v>
      </c>
      <c r="B1286" s="199" t="s">
        <v>2027</v>
      </c>
      <c r="C1286" s="253" t="s">
        <v>121</v>
      </c>
      <c r="D1286" s="177" t="s">
        <v>2018</v>
      </c>
      <c r="E1286" s="209">
        <v>10000</v>
      </c>
      <c r="F1286" s="254"/>
      <c r="G1286" s="209">
        <v>2</v>
      </c>
      <c r="H1286" s="197">
        <f t="shared" si="364"/>
        <v>400</v>
      </c>
      <c r="I1286" s="315"/>
      <c r="J1286" s="254">
        <v>10400</v>
      </c>
      <c r="K1286" s="316" t="s">
        <v>122</v>
      </c>
      <c r="L1286" s="291">
        <v>10000</v>
      </c>
    </row>
    <row r="1287" spans="1:12" ht="15.75" thickBot="1">
      <c r="A1287" s="246"/>
      <c r="B1287" s="247"/>
      <c r="C1287" s="255"/>
      <c r="D1287" s="242"/>
      <c r="E1287" s="256">
        <f>SUM(E1284:E1286)</f>
        <v>29600</v>
      </c>
      <c r="F1287" s="257"/>
      <c r="G1287" s="256">
        <f>SUM(G1284:G1286)</f>
        <v>5</v>
      </c>
      <c r="H1287" s="257">
        <f>SUM(H1284:H1286)</f>
        <v>1000</v>
      </c>
      <c r="I1287" s="257">
        <f>SUM(I1284:I1286)</f>
        <v>0</v>
      </c>
      <c r="J1287" s="257">
        <f>SUM(J1284:J1286)</f>
        <v>30000</v>
      </c>
      <c r="K1287" s="317"/>
      <c r="L1287" s="312">
        <f>SUM(L1284:L1286)</f>
        <v>29000</v>
      </c>
    </row>
    <row r="1288" spans="1:12">
      <c r="B1288" s="244"/>
      <c r="C1288" s="80"/>
      <c r="D1288" s="258"/>
      <c r="E1288" s="259">
        <f>SUM(E1273,E1280,E1282,E1287)</f>
        <v>224850</v>
      </c>
      <c r="F1288" s="260"/>
      <c r="G1288" s="259">
        <f>SUM(G1273,G1280,G1282,G1287)</f>
        <v>44</v>
      </c>
      <c r="H1288" s="259">
        <f>SUM(H1273,H1280,H1282,H1287)</f>
        <v>8800</v>
      </c>
      <c r="I1288" s="318">
        <f>SUM(I1273,I1280,I1282,I1287)</f>
        <v>0</v>
      </c>
      <c r="J1288" s="259">
        <f>SUM(J1273,J1280,J1282,J1287)</f>
        <v>233070</v>
      </c>
      <c r="K1288" s="319"/>
      <c r="L1288" s="291"/>
    </row>
    <row r="1289" spans="1:12">
      <c r="A1289" s="228" t="s">
        <v>123</v>
      </c>
      <c r="B1289" s="261"/>
      <c r="C1289" s="262"/>
      <c r="D1289" s="15"/>
      <c r="E1289" s="195"/>
      <c r="F1289" s="263" t="s">
        <v>124</v>
      </c>
      <c r="G1289" s="264"/>
      <c r="H1289" s="195"/>
      <c r="I1289" s="195"/>
      <c r="J1289" s="230"/>
      <c r="K1289" s="309"/>
      <c r="L1289" s="284"/>
    </row>
    <row r="1290" spans="1:12">
      <c r="A1290" s="176" t="s">
        <v>125</v>
      </c>
      <c r="B1290" s="199">
        <v>46125</v>
      </c>
      <c r="C1290" s="265" t="s">
        <v>126</v>
      </c>
      <c r="D1290" s="205" t="s">
        <v>2028</v>
      </c>
      <c r="E1290" s="202">
        <v>5000</v>
      </c>
      <c r="F1290" s="266">
        <v>325</v>
      </c>
      <c r="G1290" s="203">
        <v>2</v>
      </c>
      <c r="H1290" s="266">
        <f t="shared" ref="H1290:H1291" si="365">SUM(G1290*200)</f>
        <v>400</v>
      </c>
      <c r="I1290" s="202"/>
      <c r="J1290" s="282">
        <v>5400</v>
      </c>
      <c r="K1290" s="319" t="s">
        <v>128</v>
      </c>
      <c r="L1290" s="284">
        <v>5000</v>
      </c>
    </row>
    <row r="1291" spans="1:12">
      <c r="A1291" s="176" t="s">
        <v>129</v>
      </c>
      <c r="B1291" s="199">
        <v>46145</v>
      </c>
      <c r="C1291" s="265" t="s">
        <v>130</v>
      </c>
      <c r="D1291" s="205" t="s">
        <v>2023</v>
      </c>
      <c r="E1291" s="206">
        <v>5500</v>
      </c>
      <c r="F1291" s="195"/>
      <c r="G1291" s="203">
        <v>1</v>
      </c>
      <c r="H1291" s="266">
        <f t="shared" si="365"/>
        <v>200</v>
      </c>
      <c r="I1291" s="206"/>
      <c r="J1291" s="282">
        <f>SUM(E1291,H1291:I1291)</f>
        <v>5700</v>
      </c>
      <c r="K1291" s="319" t="s">
        <v>132</v>
      </c>
      <c r="L1291" s="291">
        <v>5500</v>
      </c>
    </row>
    <row r="1292" spans="1:12" ht="15.75" thickBot="1">
      <c r="A1292" s="267" t="s">
        <v>133</v>
      </c>
      <c r="B1292" s="268"/>
      <c r="C1292" s="269"/>
      <c r="D1292" s="242"/>
      <c r="E1292" s="270">
        <f>SUM(E1290:E1291)</f>
        <v>10500</v>
      </c>
      <c r="F1292" s="226">
        <f t="shared" ref="F1292:I1292" si="366">SUM(F1290:F1291)</f>
        <v>325</v>
      </c>
      <c r="G1292" s="243">
        <f t="shared" si="366"/>
        <v>3</v>
      </c>
      <c r="H1292" s="226">
        <f t="shared" si="366"/>
        <v>600</v>
      </c>
      <c r="I1292" s="320">
        <f t="shared" si="366"/>
        <v>0</v>
      </c>
      <c r="J1292" s="321">
        <f>SUM(F1292,H1292,I1292,)</f>
        <v>925</v>
      </c>
      <c r="K1292" s="322"/>
      <c r="L1292" s="322"/>
    </row>
    <row r="1293" spans="1:12">
      <c r="E1293" s="271" t="s">
        <v>134</v>
      </c>
      <c r="F1293" s="272">
        <f>SUM(F1288,F1292)</f>
        <v>325</v>
      </c>
      <c r="H1293" s="272">
        <f>SUM(H1288,H1292)</f>
        <v>9400</v>
      </c>
      <c r="I1293" s="324">
        <f>SUM(I1288,I1292)</f>
        <v>0</v>
      </c>
      <c r="J1293" s="325" t="s">
        <v>135</v>
      </c>
    </row>
    <row r="1294" spans="1:12">
      <c r="D1294" s="326">
        <f>SUM(E794,E838,E883,E928,E973,E1018,E1063,E1108,E1153,E1198,E1243,E1288)</f>
        <v>570900</v>
      </c>
      <c r="E1294" s="326">
        <f>SUM(E779,E823,E868,E919,E958,E1003,E1048,E1093,E1138,E1183,E1228,E1273)</f>
        <v>436200</v>
      </c>
    </row>
    <row r="1296" spans="1:12">
      <c r="A1296" s="340" t="s">
        <v>1806</v>
      </c>
    </row>
    <row r="1297" spans="1:12" ht="18.75" thickBot="1">
      <c r="A1297" s="185" t="s">
        <v>8</v>
      </c>
      <c r="B1297" s="348" t="s">
        <v>2068</v>
      </c>
      <c r="C1297" s="187"/>
    </row>
    <row r="1298" spans="1:12">
      <c r="A1298" s="190" t="s">
        <v>10</v>
      </c>
      <c r="B1298" s="191">
        <v>46176</v>
      </c>
      <c r="C1298" s="7" t="s">
        <v>2039</v>
      </c>
      <c r="D1298" s="193" t="s">
        <v>2069</v>
      </c>
      <c r="E1298" s="194">
        <v>8000</v>
      </c>
      <c r="F1298" s="195">
        <f>SUM(E1298*0.5)</f>
        <v>4000</v>
      </c>
      <c r="G1298" s="196">
        <v>1</v>
      </c>
      <c r="H1298" s="197">
        <f t="shared" ref="H1298:H1301" si="367">SUM(G1298*200)</f>
        <v>200</v>
      </c>
      <c r="I1298" s="194"/>
      <c r="J1298" s="279">
        <v>8200</v>
      </c>
      <c r="K1298" s="280" t="s">
        <v>13</v>
      </c>
      <c r="L1298" s="281">
        <v>8000</v>
      </c>
    </row>
    <row r="1299" spans="1:12">
      <c r="A1299" s="198" t="s">
        <v>14</v>
      </c>
      <c r="B1299" s="199">
        <v>46174</v>
      </c>
      <c r="C1299" s="201" t="s">
        <v>2101</v>
      </c>
      <c r="D1299" s="201" t="s">
        <v>2070</v>
      </c>
      <c r="E1299" s="202">
        <v>8500</v>
      </c>
      <c r="F1299" s="195">
        <f>SUM(E1299*0.5)</f>
        <v>4250</v>
      </c>
      <c r="G1299" s="203">
        <v>3</v>
      </c>
      <c r="H1299" s="197">
        <f t="shared" si="367"/>
        <v>600</v>
      </c>
      <c r="I1299" s="206"/>
      <c r="J1299" s="282">
        <v>9100</v>
      </c>
      <c r="K1299" s="283" t="s">
        <v>314</v>
      </c>
      <c r="L1299" s="284">
        <v>8500</v>
      </c>
    </row>
    <row r="1300" spans="1:12">
      <c r="A1300" s="190" t="s">
        <v>18</v>
      </c>
      <c r="B1300" s="199">
        <v>46171</v>
      </c>
      <c r="C1300" s="14" t="s">
        <v>2097</v>
      </c>
      <c r="D1300" s="205" t="s">
        <v>2071</v>
      </c>
      <c r="E1300" s="202">
        <v>8000</v>
      </c>
      <c r="F1300" s="195">
        <f t="shared" ref="F1300:F1301" si="368">SUM(E1300*0.5)</f>
        <v>4000</v>
      </c>
      <c r="G1300" s="203">
        <v>1</v>
      </c>
      <c r="H1300" s="197">
        <f t="shared" si="367"/>
        <v>200</v>
      </c>
      <c r="I1300" s="206"/>
      <c r="J1300" s="282">
        <f>SUM(E1300,H1300:I1300)</f>
        <v>8200</v>
      </c>
      <c r="K1300" s="288" t="s">
        <v>21</v>
      </c>
      <c r="L1300" s="284">
        <v>8000</v>
      </c>
    </row>
    <row r="1301" spans="1:12" ht="25.5">
      <c r="A1301" s="190" t="s">
        <v>22</v>
      </c>
      <c r="B1301" s="199">
        <v>46151</v>
      </c>
      <c r="C1301" s="26" t="s">
        <v>2088</v>
      </c>
      <c r="D1301" s="205" t="s">
        <v>2072</v>
      </c>
      <c r="E1301" s="206">
        <v>7250</v>
      </c>
      <c r="F1301" s="195">
        <f t="shared" si="368"/>
        <v>3625</v>
      </c>
      <c r="G1301" s="203">
        <v>1</v>
      </c>
      <c r="H1301" s="197">
        <f t="shared" si="367"/>
        <v>200</v>
      </c>
      <c r="I1301" s="206"/>
      <c r="J1301" s="282">
        <v>7450</v>
      </c>
      <c r="K1301" s="290" t="s">
        <v>25</v>
      </c>
      <c r="L1301" s="291">
        <v>5000</v>
      </c>
    </row>
    <row r="1302" spans="1:12">
      <c r="A1302" s="190" t="s">
        <v>26</v>
      </c>
      <c r="B1302" s="199">
        <v>46162</v>
      </c>
      <c r="C1302" s="208" t="s">
        <v>2090</v>
      </c>
      <c r="D1302" s="205" t="s">
        <v>2073</v>
      </c>
      <c r="E1302" s="209">
        <v>6000</v>
      </c>
      <c r="F1302" s="195">
        <v>3000</v>
      </c>
      <c r="G1302" s="210">
        <v>1</v>
      </c>
      <c r="H1302" s="197">
        <v>200</v>
      </c>
      <c r="I1302" s="209"/>
      <c r="J1302" s="254">
        <v>6200</v>
      </c>
      <c r="K1302" s="288" t="s">
        <v>2031</v>
      </c>
      <c r="L1302" s="291">
        <v>6000</v>
      </c>
    </row>
    <row r="1303" spans="1:12">
      <c r="A1303" s="190" t="s">
        <v>30</v>
      </c>
      <c r="B1303" s="199">
        <v>46178</v>
      </c>
      <c r="C1303" s="363" t="s">
        <v>2107</v>
      </c>
      <c r="D1303" s="205" t="s">
        <v>2074</v>
      </c>
      <c r="E1303" s="209">
        <v>6500</v>
      </c>
      <c r="F1303" s="195">
        <v>3250</v>
      </c>
      <c r="G1303" s="210">
        <v>3</v>
      </c>
      <c r="H1303" s="197">
        <v>600</v>
      </c>
      <c r="I1303" s="209"/>
      <c r="J1303" s="254">
        <v>7100</v>
      </c>
      <c r="K1303" s="294" t="s">
        <v>1344</v>
      </c>
      <c r="L1303" s="287">
        <v>6500</v>
      </c>
    </row>
    <row r="1304" spans="1:12">
      <c r="A1304" s="190" t="s">
        <v>33</v>
      </c>
      <c r="B1304" s="199">
        <v>46176</v>
      </c>
      <c r="C1304" s="14" t="s">
        <v>2105</v>
      </c>
      <c r="D1304" s="205" t="s">
        <v>2071</v>
      </c>
      <c r="E1304" s="202">
        <v>6500</v>
      </c>
      <c r="F1304" s="195">
        <f t="shared" ref="F1304" si="369">SUM(E1304*0.5)</f>
        <v>3250</v>
      </c>
      <c r="G1304" s="210">
        <v>1</v>
      </c>
      <c r="H1304" s="197">
        <f t="shared" ref="H1304" si="370">SUM(G1304*200)</f>
        <v>200</v>
      </c>
      <c r="I1304" s="202"/>
      <c r="J1304" s="197">
        <v>6700</v>
      </c>
      <c r="K1304" s="288" t="s">
        <v>2035</v>
      </c>
      <c r="L1304" s="284">
        <v>6500</v>
      </c>
    </row>
    <row r="1305" spans="1:12">
      <c r="A1305" s="190" t="s">
        <v>35</v>
      </c>
      <c r="B1305" s="199">
        <v>46170</v>
      </c>
      <c r="C1305" s="211" t="s">
        <v>2091</v>
      </c>
      <c r="D1305" s="177" t="s">
        <v>2092</v>
      </c>
      <c r="E1305" s="212">
        <v>6500</v>
      </c>
      <c r="F1305" s="195">
        <v>3250</v>
      </c>
      <c r="G1305" s="210">
        <v>2</v>
      </c>
      <c r="H1305" s="197">
        <v>400</v>
      </c>
      <c r="I1305" s="206"/>
      <c r="J1305" s="282">
        <v>6900</v>
      </c>
      <c r="K1305" s="295" t="s">
        <v>2093</v>
      </c>
      <c r="L1305" s="284">
        <v>6500</v>
      </c>
    </row>
    <row r="1306" spans="1:12">
      <c r="A1306" s="213" t="s">
        <v>39</v>
      </c>
      <c r="B1306" s="199">
        <v>46175</v>
      </c>
      <c r="C1306" s="14" t="s">
        <v>2104</v>
      </c>
      <c r="D1306" s="205" t="s">
        <v>2075</v>
      </c>
      <c r="E1306" s="202">
        <v>8000</v>
      </c>
      <c r="F1306" s="195">
        <f t="shared" ref="F1306" si="371">SUM(E1306*0.5)</f>
        <v>4000</v>
      </c>
      <c r="G1306" s="203">
        <v>1</v>
      </c>
      <c r="H1306" s="197">
        <f t="shared" ref="H1306" si="372">SUM(G1306*200)</f>
        <v>200</v>
      </c>
      <c r="I1306" s="202"/>
      <c r="J1306" s="282">
        <v>8200</v>
      </c>
      <c r="K1306" s="288" t="s">
        <v>42</v>
      </c>
      <c r="L1306" s="284">
        <v>8000</v>
      </c>
    </row>
    <row r="1307" spans="1:12">
      <c r="A1307" s="213" t="s">
        <v>43</v>
      </c>
      <c r="B1307" s="199">
        <v>46157</v>
      </c>
      <c r="C1307" s="204" t="s">
        <v>2089</v>
      </c>
      <c r="D1307" s="14" t="s">
        <v>2076</v>
      </c>
      <c r="E1307" s="202">
        <v>8500</v>
      </c>
      <c r="F1307" s="195">
        <v>4250</v>
      </c>
      <c r="G1307" s="203">
        <v>2</v>
      </c>
      <c r="H1307" s="197">
        <v>400</v>
      </c>
      <c r="I1307" s="206"/>
      <c r="J1307" s="282">
        <v>8900</v>
      </c>
      <c r="K1307" s="288" t="s">
        <v>1599</v>
      </c>
      <c r="L1307" s="284">
        <v>8500</v>
      </c>
    </row>
    <row r="1308" spans="1:12">
      <c r="A1308" s="213" t="s">
        <v>47</v>
      </c>
      <c r="B1308" s="199">
        <v>46174</v>
      </c>
      <c r="C1308" s="204" t="s">
        <v>2103</v>
      </c>
      <c r="D1308" s="205" t="s">
        <v>2074</v>
      </c>
      <c r="E1308" s="202">
        <v>8000</v>
      </c>
      <c r="F1308" s="195">
        <f t="shared" ref="F1308:F1313" si="373">SUM(E1308*0.5)</f>
        <v>4000</v>
      </c>
      <c r="G1308" s="203">
        <v>1</v>
      </c>
      <c r="H1308" s="197">
        <f t="shared" ref="H1308:H1313" si="374">SUM(G1308*200)</f>
        <v>200</v>
      </c>
      <c r="I1308" s="202"/>
      <c r="J1308" s="282">
        <v>8200</v>
      </c>
      <c r="K1308" s="288" t="s">
        <v>50</v>
      </c>
      <c r="L1308" s="291">
        <v>8000</v>
      </c>
    </row>
    <row r="1309" spans="1:12">
      <c r="A1309" s="213" t="s">
        <v>51</v>
      </c>
      <c r="B1309" s="199">
        <v>46174</v>
      </c>
      <c r="C1309" s="204" t="s">
        <v>2102</v>
      </c>
      <c r="D1309" s="205" t="s">
        <v>2073</v>
      </c>
      <c r="E1309" s="212">
        <v>8500</v>
      </c>
      <c r="F1309" s="195">
        <f t="shared" si="373"/>
        <v>4250</v>
      </c>
      <c r="G1309" s="210">
        <v>2</v>
      </c>
      <c r="H1309" s="197">
        <f t="shared" si="374"/>
        <v>400</v>
      </c>
      <c r="I1309" s="212"/>
      <c r="J1309" s="282">
        <v>8920</v>
      </c>
      <c r="K1309" s="295" t="s">
        <v>577</v>
      </c>
      <c r="L1309" s="284">
        <v>8500</v>
      </c>
    </row>
    <row r="1310" spans="1:12">
      <c r="A1310" s="213" t="s">
        <v>55</v>
      </c>
      <c r="B1310" s="199">
        <v>46177</v>
      </c>
      <c r="C1310" s="204" t="s">
        <v>2095</v>
      </c>
      <c r="D1310" s="205" t="s">
        <v>2074</v>
      </c>
      <c r="E1310" s="202">
        <v>7500</v>
      </c>
      <c r="F1310" s="195">
        <f t="shared" si="373"/>
        <v>3750</v>
      </c>
      <c r="G1310" s="203">
        <v>2</v>
      </c>
      <c r="H1310" s="197">
        <f t="shared" si="374"/>
        <v>400</v>
      </c>
      <c r="I1310" s="206"/>
      <c r="J1310" s="282">
        <v>7900</v>
      </c>
      <c r="K1310" s="288" t="s">
        <v>57</v>
      </c>
      <c r="L1310" s="284">
        <v>7500</v>
      </c>
    </row>
    <row r="1311" spans="1:12">
      <c r="A1311" s="213" t="s">
        <v>58</v>
      </c>
      <c r="B1311" s="199">
        <v>46170</v>
      </c>
      <c r="C1311" s="204" t="s">
        <v>2094</v>
      </c>
      <c r="D1311" s="205" t="s">
        <v>2072</v>
      </c>
      <c r="E1311" s="202">
        <v>6500</v>
      </c>
      <c r="F1311" s="195">
        <f t="shared" si="373"/>
        <v>3250</v>
      </c>
      <c r="G1311" s="203">
        <v>1</v>
      </c>
      <c r="H1311" s="197">
        <f t="shared" si="374"/>
        <v>200</v>
      </c>
      <c r="I1311" s="206"/>
      <c r="J1311" s="254">
        <v>6700</v>
      </c>
      <c r="K1311" s="296" t="s">
        <v>378</v>
      </c>
      <c r="L1311" s="284">
        <v>6500</v>
      </c>
    </row>
    <row r="1312" spans="1:12">
      <c r="A1312" s="213" t="s">
        <v>60</v>
      </c>
      <c r="B1312" s="199">
        <v>46173</v>
      </c>
      <c r="C1312" s="14" t="s">
        <v>2099</v>
      </c>
      <c r="D1312" s="205" t="s">
        <v>2077</v>
      </c>
      <c r="E1312" s="202">
        <v>6500</v>
      </c>
      <c r="F1312" s="195">
        <f t="shared" si="373"/>
        <v>3250</v>
      </c>
      <c r="G1312" s="203">
        <v>1</v>
      </c>
      <c r="H1312" s="197">
        <f t="shared" si="374"/>
        <v>200</v>
      </c>
      <c r="I1312" s="206"/>
      <c r="J1312" s="254">
        <v>6700</v>
      </c>
      <c r="K1312" s="295" t="s">
        <v>1725</v>
      </c>
      <c r="L1312" s="284">
        <v>6500</v>
      </c>
    </row>
    <row r="1313" spans="1:12">
      <c r="A1313" s="214" t="s">
        <v>63</v>
      </c>
      <c r="B1313" s="199">
        <v>46179</v>
      </c>
      <c r="C1313" s="204" t="s">
        <v>2108</v>
      </c>
      <c r="D1313" s="205" t="s">
        <v>2078</v>
      </c>
      <c r="E1313" s="206">
        <v>9000</v>
      </c>
      <c r="F1313" s="195">
        <f t="shared" si="373"/>
        <v>4500</v>
      </c>
      <c r="G1313" s="203">
        <v>2</v>
      </c>
      <c r="H1313" s="197">
        <f t="shared" si="374"/>
        <v>400</v>
      </c>
      <c r="I1313" s="206"/>
      <c r="J1313" s="282">
        <v>9400</v>
      </c>
      <c r="K1313" s="288" t="s">
        <v>584</v>
      </c>
      <c r="L1313" s="291">
        <v>9000</v>
      </c>
    </row>
    <row r="1314" spans="1:12">
      <c r="A1314" s="214" t="s">
        <v>67</v>
      </c>
      <c r="B1314" s="199"/>
      <c r="C1314" s="14" t="s">
        <v>162</v>
      </c>
      <c r="D1314" s="205"/>
      <c r="E1314" s="206"/>
      <c r="F1314" s="195"/>
      <c r="G1314" s="203"/>
      <c r="H1314" s="197"/>
      <c r="I1314" s="206"/>
      <c r="J1314" s="282"/>
      <c r="K1314" s="295"/>
      <c r="L1314" s="284"/>
    </row>
    <row r="1315" spans="1:12">
      <c r="A1315" s="214" t="s">
        <v>71</v>
      </c>
      <c r="B1315" s="199">
        <v>46171</v>
      </c>
      <c r="C1315" s="204" t="s">
        <v>2096</v>
      </c>
      <c r="D1315" s="205" t="s">
        <v>2077</v>
      </c>
      <c r="E1315" s="206">
        <v>8500</v>
      </c>
      <c r="F1315" s="195">
        <f t="shared" ref="F1315:F1319" si="375">SUM(E1315*0.5)</f>
        <v>4250</v>
      </c>
      <c r="G1315" s="203">
        <v>2</v>
      </c>
      <c r="H1315" s="197">
        <f t="shared" ref="H1315:H1318" si="376">SUM(G1315*200)</f>
        <v>400</v>
      </c>
      <c r="I1315" s="206"/>
      <c r="J1315" s="282">
        <v>8900</v>
      </c>
      <c r="K1315" s="288" t="s">
        <v>383</v>
      </c>
      <c r="L1315" s="291">
        <v>8500</v>
      </c>
    </row>
    <row r="1316" spans="1:12">
      <c r="A1316" s="214" t="s">
        <v>74</v>
      </c>
      <c r="B1316" s="199">
        <v>46171</v>
      </c>
      <c r="C1316" s="14" t="s">
        <v>2098</v>
      </c>
      <c r="D1316" s="205" t="s">
        <v>2079</v>
      </c>
      <c r="E1316" s="206">
        <v>8500</v>
      </c>
      <c r="F1316" s="195">
        <f t="shared" si="375"/>
        <v>4250</v>
      </c>
      <c r="G1316" s="203">
        <v>1</v>
      </c>
      <c r="H1316" s="197">
        <f t="shared" si="376"/>
        <v>200</v>
      </c>
      <c r="I1316" s="206"/>
      <c r="J1316" s="282">
        <v>8700</v>
      </c>
      <c r="K1316" s="288" t="s">
        <v>2032</v>
      </c>
      <c r="L1316" s="291">
        <v>8500</v>
      </c>
    </row>
    <row r="1317" spans="1:12">
      <c r="A1317" s="214" t="s">
        <v>77</v>
      </c>
      <c r="B1317" s="199">
        <v>46151</v>
      </c>
      <c r="C1317" s="208" t="s">
        <v>2087</v>
      </c>
      <c r="D1317" s="205" t="s">
        <v>2080</v>
      </c>
      <c r="E1317" s="206">
        <v>8000</v>
      </c>
      <c r="F1317" s="195">
        <f t="shared" si="375"/>
        <v>4000</v>
      </c>
      <c r="G1317" s="203">
        <v>2</v>
      </c>
      <c r="H1317" s="197">
        <f t="shared" si="376"/>
        <v>400</v>
      </c>
      <c r="I1317" s="206"/>
      <c r="J1317" s="282">
        <v>8400</v>
      </c>
      <c r="K1317" s="288" t="s">
        <v>340</v>
      </c>
      <c r="L1317" s="291">
        <v>8000</v>
      </c>
    </row>
    <row r="1318" spans="1:12">
      <c r="A1318" s="214" t="s">
        <v>81</v>
      </c>
      <c r="B1318" s="199">
        <v>46176</v>
      </c>
      <c r="C1318" s="208" t="s">
        <v>2106</v>
      </c>
      <c r="D1318" s="177" t="s">
        <v>2081</v>
      </c>
      <c r="E1318" s="209">
        <v>6500</v>
      </c>
      <c r="F1318" s="195">
        <f t="shared" si="375"/>
        <v>3250</v>
      </c>
      <c r="G1318" s="210">
        <v>1</v>
      </c>
      <c r="H1318" s="197">
        <f t="shared" si="376"/>
        <v>200</v>
      </c>
      <c r="I1318" s="206"/>
      <c r="J1318" s="282">
        <v>6700</v>
      </c>
      <c r="K1318" s="295" t="s">
        <v>1904</v>
      </c>
      <c r="L1318" s="291">
        <v>6500</v>
      </c>
    </row>
    <row r="1319" spans="1:12">
      <c r="A1319" s="215" t="s">
        <v>84</v>
      </c>
      <c r="B1319" s="216">
        <v>46173</v>
      </c>
      <c r="C1319" s="208" t="s">
        <v>2100</v>
      </c>
      <c r="D1319" s="208" t="s">
        <v>2071</v>
      </c>
      <c r="E1319" s="209">
        <v>6500</v>
      </c>
      <c r="F1319" s="195">
        <f t="shared" si="375"/>
        <v>3250</v>
      </c>
      <c r="G1319" s="210">
        <v>0</v>
      </c>
      <c r="H1319" s="197">
        <v>0</v>
      </c>
      <c r="I1319" s="209"/>
      <c r="J1319" s="254">
        <v>6500</v>
      </c>
      <c r="K1319" s="24" t="s">
        <v>1300</v>
      </c>
      <c r="L1319" s="287">
        <v>6000</v>
      </c>
    </row>
    <row r="1320" spans="1:12" ht="15.75" thickBot="1">
      <c r="A1320" s="221"/>
      <c r="B1320" s="222"/>
      <c r="C1320" s="223"/>
      <c r="D1320" s="224"/>
      <c r="E1320" s="225">
        <f>SUM(E1298:E1319)</f>
        <v>157750</v>
      </c>
      <c r="F1320" s="226">
        <f>SUM(F1298:F1319)</f>
        <v>78875</v>
      </c>
      <c r="G1320" s="225">
        <f t="shared" ref="G1320:J1320" si="377">SUM(G1298:G1319)</f>
        <v>31</v>
      </c>
      <c r="H1320" s="227">
        <f t="shared" si="377"/>
        <v>6200</v>
      </c>
      <c r="I1320" s="225">
        <f t="shared" si="377"/>
        <v>0</v>
      </c>
      <c r="J1320" s="227">
        <f t="shared" si="377"/>
        <v>163970</v>
      </c>
      <c r="K1320" s="306"/>
      <c r="L1320" s="307">
        <f>SUM(L1298:L1319)</f>
        <v>155000</v>
      </c>
    </row>
    <row r="1321" spans="1:12">
      <c r="A1321" s="228" t="s">
        <v>88</v>
      </c>
      <c r="B1321" s="229"/>
      <c r="C1321" s="230"/>
      <c r="D1321" s="205"/>
      <c r="E1321" s="195"/>
      <c r="F1321" s="195"/>
      <c r="G1321" s="231"/>
      <c r="H1321" s="195"/>
      <c r="I1321" s="195"/>
      <c r="J1321" s="230"/>
      <c r="K1321" s="309"/>
      <c r="L1321" s="291"/>
    </row>
    <row r="1322" spans="1:12" ht="16.5" customHeight="1">
      <c r="A1322" s="176" t="s">
        <v>89</v>
      </c>
      <c r="B1322" s="199">
        <v>46151</v>
      </c>
      <c r="C1322" s="204" t="s">
        <v>90</v>
      </c>
      <c r="D1322" s="205" t="s">
        <v>1187</v>
      </c>
      <c r="E1322" s="206">
        <v>10000</v>
      </c>
      <c r="F1322" s="195"/>
      <c r="G1322" s="232">
        <v>2</v>
      </c>
      <c r="H1322" s="197">
        <f t="shared" ref="H1322:H1324" si="378">SUM(G1322*200)</f>
        <v>400</v>
      </c>
      <c r="I1322" s="206"/>
      <c r="J1322" s="282">
        <v>10400</v>
      </c>
      <c r="K1322" s="288" t="s">
        <v>92</v>
      </c>
      <c r="L1322" s="291">
        <v>10000</v>
      </c>
    </row>
    <row r="1323" spans="1:12">
      <c r="A1323" s="176" t="s">
        <v>93</v>
      </c>
      <c r="B1323" s="199">
        <v>46165</v>
      </c>
      <c r="C1323" s="207" t="s">
        <v>94</v>
      </c>
      <c r="D1323" s="177" t="s">
        <v>2082</v>
      </c>
      <c r="E1323" s="212">
        <v>10000</v>
      </c>
      <c r="F1323" s="233"/>
      <c r="G1323" s="210">
        <v>2</v>
      </c>
      <c r="H1323" s="197">
        <f t="shared" si="378"/>
        <v>400</v>
      </c>
      <c r="I1323" s="202"/>
      <c r="J1323" s="282">
        <v>10400</v>
      </c>
      <c r="K1323" s="310" t="s">
        <v>96</v>
      </c>
      <c r="L1323" s="284">
        <v>6000</v>
      </c>
    </row>
    <row r="1324" spans="1:12">
      <c r="A1324" s="176" t="s">
        <v>97</v>
      </c>
      <c r="B1324" s="199">
        <v>46157</v>
      </c>
      <c r="C1324" s="204" t="s">
        <v>98</v>
      </c>
      <c r="D1324" s="205" t="s">
        <v>2083</v>
      </c>
      <c r="E1324" s="234">
        <v>12000</v>
      </c>
      <c r="F1324" s="235"/>
      <c r="G1324" s="232">
        <v>2</v>
      </c>
      <c r="H1324" s="197">
        <f t="shared" si="378"/>
        <v>400</v>
      </c>
      <c r="I1324" s="206"/>
      <c r="J1324" s="282">
        <v>12400</v>
      </c>
      <c r="K1324" s="288" t="s">
        <v>99</v>
      </c>
      <c r="L1324" s="291">
        <v>12000</v>
      </c>
    </row>
    <row r="1325" spans="1:12">
      <c r="A1325" s="176" t="s">
        <v>100</v>
      </c>
      <c r="B1325" s="199">
        <v>46158</v>
      </c>
      <c r="C1325" s="236" t="s">
        <v>2036</v>
      </c>
      <c r="D1325" s="205" t="s">
        <v>2084</v>
      </c>
      <c r="E1325" s="212">
        <v>12000</v>
      </c>
      <c r="F1325" s="195"/>
      <c r="G1325" s="210">
        <v>2</v>
      </c>
      <c r="H1325" s="197">
        <v>400</v>
      </c>
      <c r="I1325" s="212"/>
      <c r="J1325" s="282">
        <v>12400</v>
      </c>
      <c r="K1325" s="295" t="s">
        <v>2038</v>
      </c>
      <c r="L1325" s="284">
        <v>12000</v>
      </c>
    </row>
    <row r="1326" spans="1:12">
      <c r="A1326" s="176" t="s">
        <v>104</v>
      </c>
      <c r="B1326" s="339">
        <v>46179</v>
      </c>
      <c r="C1326" s="237" t="s">
        <v>1575</v>
      </c>
      <c r="D1326" s="205" t="s">
        <v>2077</v>
      </c>
      <c r="E1326" s="206">
        <v>12000</v>
      </c>
      <c r="F1326" s="195"/>
      <c r="G1326" s="238">
        <v>4</v>
      </c>
      <c r="H1326" s="197">
        <f t="shared" ref="H1326" si="379">SUM(G1326*200)</f>
        <v>800</v>
      </c>
      <c r="I1326" s="219"/>
      <c r="J1326" s="282">
        <v>12800</v>
      </c>
      <c r="K1326" s="311" t="s">
        <v>107</v>
      </c>
      <c r="L1326" s="291">
        <v>12000</v>
      </c>
    </row>
    <row r="1327" spans="1:12" ht="15.75" thickBot="1">
      <c r="A1327" s="239"/>
      <c r="B1327" s="240"/>
      <c r="C1327" s="241" t="s">
        <v>108</v>
      </c>
      <c r="D1327" s="242"/>
      <c r="E1327" s="243">
        <f>SUM(E1322:E1325)</f>
        <v>44000</v>
      </c>
      <c r="F1327" s="226"/>
      <c r="G1327" s="226">
        <f>SUM(G1322:G1325)</f>
        <v>8</v>
      </c>
      <c r="H1327" s="226">
        <f>SUM(H1322:H1325)</f>
        <v>1600</v>
      </c>
      <c r="I1327" s="243">
        <f>SUM(I1322:I1325)</f>
        <v>0</v>
      </c>
      <c r="J1327" s="226">
        <f>SUM(J1322:J1325)</f>
        <v>45600</v>
      </c>
      <c r="K1327" s="306"/>
      <c r="L1327" s="312">
        <f>SUM(L1322:L1326)</f>
        <v>52000</v>
      </c>
    </row>
    <row r="1328" spans="1:12">
      <c r="A1328" s="228" t="s">
        <v>109</v>
      </c>
      <c r="B1328" s="244"/>
      <c r="C1328" s="245"/>
      <c r="D1328" s="205"/>
      <c r="E1328" s="195"/>
      <c r="F1328" s="195"/>
      <c r="G1328" s="231"/>
      <c r="H1328" s="195"/>
      <c r="I1328" s="195"/>
      <c r="J1328" s="195"/>
      <c r="K1328" s="309"/>
      <c r="L1328" s="313"/>
    </row>
    <row r="1329" spans="1:12" ht="15.75" thickBot="1">
      <c r="A1329" s="246" t="s">
        <v>110</v>
      </c>
      <c r="B1329" s="247"/>
      <c r="C1329" s="248" t="s">
        <v>111</v>
      </c>
      <c r="D1329" s="242"/>
      <c r="E1329" s="243"/>
      <c r="F1329" s="226"/>
      <c r="G1329" s="249"/>
      <c r="H1329" s="226"/>
      <c r="I1329" s="243"/>
      <c r="J1329" s="226"/>
      <c r="K1329" s="306"/>
      <c r="L1329" s="312"/>
    </row>
    <row r="1330" spans="1:12">
      <c r="A1330" s="228" t="s">
        <v>112</v>
      </c>
      <c r="B1330" s="250"/>
      <c r="C1330" s="245"/>
      <c r="D1330" s="205"/>
      <c r="E1330" s="195"/>
      <c r="F1330" s="195"/>
      <c r="G1330" s="231"/>
      <c r="H1330" s="195"/>
      <c r="I1330" s="195"/>
      <c r="J1330" s="195"/>
      <c r="K1330" s="309"/>
      <c r="L1330" s="313"/>
    </row>
    <row r="1331" spans="1:12">
      <c r="A1331" s="176" t="s">
        <v>113</v>
      </c>
      <c r="B1331" s="199">
        <v>46078</v>
      </c>
      <c r="C1331" s="251" t="s">
        <v>114</v>
      </c>
      <c r="D1331" s="177" t="s">
        <v>2080</v>
      </c>
      <c r="E1331" s="206">
        <v>12600</v>
      </c>
      <c r="F1331" s="230"/>
      <c r="G1331" s="209">
        <v>2</v>
      </c>
      <c r="H1331" s="197">
        <f t="shared" ref="H1331:H1333" si="380">SUM(G1331*200)</f>
        <v>400</v>
      </c>
      <c r="I1331" s="314"/>
      <c r="J1331" s="282">
        <v>12400</v>
      </c>
      <c r="K1331" s="295" t="s">
        <v>115</v>
      </c>
      <c r="L1331" s="291">
        <v>12000</v>
      </c>
    </row>
    <row r="1332" spans="1:12">
      <c r="A1332" s="176" t="s">
        <v>116</v>
      </c>
      <c r="B1332" s="199">
        <v>46156</v>
      </c>
      <c r="C1332" s="252" t="s">
        <v>117</v>
      </c>
      <c r="D1332" s="205" t="s">
        <v>2085</v>
      </c>
      <c r="E1332" s="206">
        <v>7000</v>
      </c>
      <c r="F1332" s="195"/>
      <c r="G1332" s="209">
        <v>1</v>
      </c>
      <c r="H1332" s="197">
        <f t="shared" si="380"/>
        <v>200</v>
      </c>
      <c r="I1332" s="314"/>
      <c r="J1332" s="282">
        <v>7200</v>
      </c>
      <c r="K1332" s="288" t="s">
        <v>119</v>
      </c>
      <c r="L1332" s="291">
        <v>7000</v>
      </c>
    </row>
    <row r="1333" spans="1:12">
      <c r="A1333" s="176" t="s">
        <v>120</v>
      </c>
      <c r="B1333" s="199">
        <v>46179</v>
      </c>
      <c r="C1333" s="253" t="s">
        <v>121</v>
      </c>
      <c r="D1333" s="177" t="s">
        <v>2073</v>
      </c>
      <c r="E1333" s="209">
        <v>10000</v>
      </c>
      <c r="F1333" s="254"/>
      <c r="G1333" s="209">
        <v>2</v>
      </c>
      <c r="H1333" s="197">
        <f t="shared" si="380"/>
        <v>400</v>
      </c>
      <c r="I1333" s="315"/>
      <c r="J1333" s="254">
        <v>10400</v>
      </c>
      <c r="K1333" s="316" t="s">
        <v>122</v>
      </c>
      <c r="L1333" s="291">
        <v>10000</v>
      </c>
    </row>
    <row r="1334" spans="1:12" ht="15.75" thickBot="1">
      <c r="A1334" s="246"/>
      <c r="B1334" s="247"/>
      <c r="C1334" s="255"/>
      <c r="D1334" s="242"/>
      <c r="E1334" s="256">
        <f>SUM(E1331:E1333)</f>
        <v>29600</v>
      </c>
      <c r="F1334" s="257"/>
      <c r="G1334" s="256">
        <f>SUM(G1331:G1333)</f>
        <v>5</v>
      </c>
      <c r="H1334" s="257">
        <f>SUM(H1331:H1333)</f>
        <v>1000</v>
      </c>
      <c r="I1334" s="257">
        <f>SUM(I1331:I1333)</f>
        <v>0</v>
      </c>
      <c r="J1334" s="257">
        <f>SUM(J1331:J1333)</f>
        <v>30000</v>
      </c>
      <c r="K1334" s="317"/>
      <c r="L1334" s="312">
        <f>SUM(L1331:L1333)</f>
        <v>29000</v>
      </c>
    </row>
    <row r="1335" spans="1:12">
      <c r="B1335" s="244"/>
      <c r="C1335" s="80"/>
      <c r="D1335" s="258"/>
      <c r="E1335" s="259">
        <f>SUM(E1320,E1327,E1329,E1334)</f>
        <v>231350</v>
      </c>
      <c r="F1335" s="260"/>
      <c r="G1335" s="259">
        <f>SUM(G1320,G1327,G1329,G1334)</f>
        <v>44</v>
      </c>
      <c r="H1335" s="259">
        <f>SUM(H1320,H1327,H1329,H1334)</f>
        <v>8800</v>
      </c>
      <c r="I1335" s="318">
        <f>SUM(I1320,I1327,I1329,I1334)</f>
        <v>0</v>
      </c>
      <c r="J1335" s="259">
        <f>SUM(J1320,J1327,J1329,J1334)</f>
        <v>239570</v>
      </c>
      <c r="K1335" s="319"/>
      <c r="L1335" s="291"/>
    </row>
    <row r="1336" spans="1:12">
      <c r="A1336" s="228" t="s">
        <v>123</v>
      </c>
      <c r="B1336" s="261"/>
      <c r="C1336" s="262" t="s">
        <v>108</v>
      </c>
      <c r="D1336" s="15"/>
      <c r="E1336" s="195"/>
      <c r="F1336" s="263" t="s">
        <v>124</v>
      </c>
      <c r="G1336" s="264"/>
      <c r="H1336" s="195"/>
      <c r="I1336" s="195"/>
      <c r="J1336" s="230"/>
      <c r="K1336" s="309"/>
      <c r="L1336" s="284"/>
    </row>
    <row r="1337" spans="1:12">
      <c r="A1337" s="176" t="s">
        <v>125</v>
      </c>
      <c r="B1337" s="199">
        <v>46155</v>
      </c>
      <c r="C1337" s="265" t="s">
        <v>126</v>
      </c>
      <c r="D1337" s="205" t="s">
        <v>2086</v>
      </c>
      <c r="E1337" s="202">
        <v>5000</v>
      </c>
      <c r="F1337" s="266">
        <v>325</v>
      </c>
      <c r="G1337" s="203">
        <v>2</v>
      </c>
      <c r="H1337" s="266">
        <f t="shared" ref="H1337:H1338" si="381">SUM(G1337*200)</f>
        <v>400</v>
      </c>
      <c r="I1337" s="202"/>
      <c r="J1337" s="282">
        <v>5400</v>
      </c>
      <c r="K1337" s="319" t="s">
        <v>128</v>
      </c>
      <c r="L1337" s="284">
        <v>5000</v>
      </c>
    </row>
    <row r="1338" spans="1:12">
      <c r="A1338" s="176" t="s">
        <v>129</v>
      </c>
      <c r="B1338" s="199">
        <v>46179</v>
      </c>
      <c r="C1338" s="265" t="s">
        <v>130</v>
      </c>
      <c r="D1338" s="205" t="s">
        <v>2081</v>
      </c>
      <c r="E1338" s="206">
        <v>5500</v>
      </c>
      <c r="F1338" s="195"/>
      <c r="G1338" s="203">
        <v>1</v>
      </c>
      <c r="H1338" s="266">
        <f t="shared" si="381"/>
        <v>200</v>
      </c>
      <c r="I1338" s="206"/>
      <c r="J1338" s="282">
        <f>SUM(E1338,H1338:I1338)</f>
        <v>5700</v>
      </c>
      <c r="K1338" s="319" t="s">
        <v>132</v>
      </c>
      <c r="L1338" s="291">
        <v>5500</v>
      </c>
    </row>
    <row r="1339" spans="1:12" ht="15.75" thickBot="1">
      <c r="A1339" s="267" t="s">
        <v>133</v>
      </c>
      <c r="B1339" s="268"/>
      <c r="C1339" s="269"/>
      <c r="D1339" s="242"/>
      <c r="E1339" s="270">
        <f>SUM(E1337:E1338)</f>
        <v>10500</v>
      </c>
      <c r="F1339" s="226">
        <f t="shared" ref="F1339:I1339" si="382">SUM(F1337:F1338)</f>
        <v>325</v>
      </c>
      <c r="G1339" s="243">
        <f t="shared" si="382"/>
        <v>3</v>
      </c>
      <c r="H1339" s="226">
        <f t="shared" si="382"/>
        <v>600</v>
      </c>
      <c r="I1339" s="320">
        <f t="shared" si="382"/>
        <v>0</v>
      </c>
      <c r="J1339" s="321">
        <f>SUM(F1339,H1339,I1339,)</f>
        <v>925</v>
      </c>
      <c r="K1339" s="322"/>
      <c r="L1339" s="322"/>
    </row>
    <row r="1340" spans="1:12">
      <c r="E1340" s="271" t="s">
        <v>134</v>
      </c>
      <c r="F1340" s="272">
        <f>SUM(F1335,F1339)</f>
        <v>325</v>
      </c>
      <c r="H1340" s="272">
        <f>SUM(H1335,H1339)</f>
        <v>9400</v>
      </c>
      <c r="I1340" s="324">
        <f>SUM(I1335,I1339)</f>
        <v>0</v>
      </c>
      <c r="J1340" s="325" t="s">
        <v>135</v>
      </c>
    </row>
    <row r="1341" spans="1:12">
      <c r="D1341" s="326">
        <f>SUM(E841,E885,E930,E975,E1020,E1065,E1110,E1155,E1200,E1245,E1290,E1335)</f>
        <v>558800</v>
      </c>
      <c r="E1341" s="326">
        <f>SUM(E826,E870,E915,E966,E1005,E1050,E1095,E1140,E1185,E1230,E1275,E1320)</f>
        <v>453600</v>
      </c>
    </row>
    <row r="1343" spans="1:12">
      <c r="A1343" s="340" t="s">
        <v>1806</v>
      </c>
    </row>
    <row r="1344" spans="1:12" ht="18.75" thickBot="1">
      <c r="A1344" s="185" t="s">
        <v>8</v>
      </c>
      <c r="B1344" s="348" t="s">
        <v>2151</v>
      </c>
      <c r="C1344" s="187"/>
    </row>
    <row r="1345" spans="1:12">
      <c r="A1345" s="190" t="s">
        <v>10</v>
      </c>
      <c r="B1345" s="191">
        <v>46205</v>
      </c>
      <c r="C1345" s="7" t="s">
        <v>2267</v>
      </c>
      <c r="D1345" s="193" t="s">
        <v>2152</v>
      </c>
      <c r="E1345" s="194">
        <v>8000</v>
      </c>
      <c r="F1345" s="195">
        <f>SUM(E1345*0.5)</f>
        <v>4000</v>
      </c>
      <c r="G1345" s="196">
        <v>1</v>
      </c>
      <c r="H1345" s="197">
        <f t="shared" ref="H1345:H1348" si="383">SUM(G1345*200)</f>
        <v>200</v>
      </c>
      <c r="I1345" s="194"/>
      <c r="J1345" s="279">
        <v>8200</v>
      </c>
      <c r="K1345" s="280" t="s">
        <v>13</v>
      </c>
      <c r="L1345" s="281">
        <v>8000</v>
      </c>
    </row>
    <row r="1346" spans="1:12">
      <c r="A1346" s="198" t="s">
        <v>14</v>
      </c>
      <c r="B1346" s="199">
        <v>46206</v>
      </c>
      <c r="C1346" s="201" t="s">
        <v>2268</v>
      </c>
      <c r="D1346" s="201" t="s">
        <v>2153</v>
      </c>
      <c r="E1346" s="202">
        <v>8500</v>
      </c>
      <c r="F1346" s="195">
        <f>SUM(E1346*0.5)</f>
        <v>4250</v>
      </c>
      <c r="G1346" s="203">
        <v>3</v>
      </c>
      <c r="H1346" s="197">
        <f t="shared" si="383"/>
        <v>600</v>
      </c>
      <c r="I1346" s="206"/>
      <c r="J1346" s="282">
        <v>9100</v>
      </c>
      <c r="K1346" s="283" t="s">
        <v>314</v>
      </c>
      <c r="L1346" s="284">
        <v>8500</v>
      </c>
    </row>
    <row r="1347" spans="1:12">
      <c r="A1347" s="190" t="s">
        <v>18</v>
      </c>
      <c r="B1347" s="199">
        <v>46204</v>
      </c>
      <c r="C1347" s="14" t="s">
        <v>2265</v>
      </c>
      <c r="D1347" s="205" t="s">
        <v>2154</v>
      </c>
      <c r="E1347" s="202">
        <v>8000</v>
      </c>
      <c r="F1347" s="195">
        <f t="shared" ref="F1347:F1348" si="384">SUM(E1347*0.5)</f>
        <v>4000</v>
      </c>
      <c r="G1347" s="203">
        <v>1</v>
      </c>
      <c r="H1347" s="197">
        <f t="shared" si="383"/>
        <v>200</v>
      </c>
      <c r="I1347" s="206"/>
      <c r="J1347" s="282">
        <f>SUM(E1347,H1347:I1347)</f>
        <v>8200</v>
      </c>
      <c r="K1347" s="288" t="s">
        <v>21</v>
      </c>
      <c r="L1347" s="284">
        <v>8000</v>
      </c>
    </row>
    <row r="1348" spans="1:12" ht="25.5">
      <c r="A1348" s="190" t="s">
        <v>22</v>
      </c>
      <c r="B1348" s="199">
        <v>46189</v>
      </c>
      <c r="C1348" s="26" t="s">
        <v>2171</v>
      </c>
      <c r="D1348" s="205" t="s">
        <v>2155</v>
      </c>
      <c r="E1348" s="206">
        <v>7250</v>
      </c>
      <c r="F1348" s="195">
        <f t="shared" si="384"/>
        <v>3625</v>
      </c>
      <c r="G1348" s="203">
        <v>1</v>
      </c>
      <c r="H1348" s="197">
        <f t="shared" si="383"/>
        <v>200</v>
      </c>
      <c r="I1348" s="206"/>
      <c r="J1348" s="282">
        <v>7450</v>
      </c>
      <c r="K1348" s="290" t="s">
        <v>25</v>
      </c>
      <c r="L1348" s="291">
        <v>5000</v>
      </c>
    </row>
    <row r="1349" spans="1:12">
      <c r="A1349" s="190" t="s">
        <v>26</v>
      </c>
      <c r="B1349" s="199">
        <v>46217</v>
      </c>
      <c r="C1349" s="208" t="s">
        <v>2271</v>
      </c>
      <c r="D1349" s="205" t="s">
        <v>2156</v>
      </c>
      <c r="E1349" s="209">
        <v>6000</v>
      </c>
      <c r="F1349" s="195">
        <v>3000</v>
      </c>
      <c r="G1349" s="210">
        <v>1</v>
      </c>
      <c r="H1349" s="197">
        <v>200</v>
      </c>
      <c r="I1349" s="209"/>
      <c r="J1349" s="254">
        <v>6200</v>
      </c>
      <c r="K1349" s="288" t="s">
        <v>2031</v>
      </c>
      <c r="L1349" s="291">
        <v>6000</v>
      </c>
    </row>
    <row r="1350" spans="1:12">
      <c r="A1350" s="190" t="s">
        <v>30</v>
      </c>
      <c r="B1350" s="199">
        <v>46216</v>
      </c>
      <c r="C1350" s="363" t="s">
        <v>2270</v>
      </c>
      <c r="D1350" s="205" t="s">
        <v>2157</v>
      </c>
      <c r="E1350" s="209">
        <v>6500</v>
      </c>
      <c r="F1350" s="195">
        <v>3250</v>
      </c>
      <c r="G1350" s="210">
        <v>3</v>
      </c>
      <c r="H1350" s="197">
        <v>600</v>
      </c>
      <c r="I1350" s="209"/>
      <c r="J1350" s="254">
        <v>7100</v>
      </c>
      <c r="K1350" s="294" t="s">
        <v>1344</v>
      </c>
      <c r="L1350" s="287">
        <v>6500</v>
      </c>
    </row>
    <row r="1351" spans="1:12">
      <c r="A1351" s="190" t="s">
        <v>33</v>
      </c>
      <c r="B1351" s="199">
        <v>46218</v>
      </c>
      <c r="C1351" s="14" t="s">
        <v>2272</v>
      </c>
      <c r="D1351" s="205" t="s">
        <v>2154</v>
      </c>
      <c r="E1351" s="202">
        <v>6500</v>
      </c>
      <c r="F1351" s="195">
        <f t="shared" ref="F1351" si="385">SUM(E1351*0.5)</f>
        <v>3250</v>
      </c>
      <c r="G1351" s="210">
        <v>1</v>
      </c>
      <c r="H1351" s="197">
        <f t="shared" ref="H1351" si="386">SUM(G1351*200)</f>
        <v>200</v>
      </c>
      <c r="I1351" s="202"/>
      <c r="J1351" s="197">
        <v>6700</v>
      </c>
      <c r="K1351" s="288" t="s">
        <v>2035</v>
      </c>
      <c r="L1351" s="284">
        <v>6500</v>
      </c>
    </row>
    <row r="1352" spans="1:12">
      <c r="A1352" s="190" t="s">
        <v>35</v>
      </c>
      <c r="B1352" s="199">
        <v>46202</v>
      </c>
      <c r="C1352" s="211" t="s">
        <v>2178</v>
      </c>
      <c r="D1352" s="177" t="s">
        <v>2158</v>
      </c>
      <c r="E1352" s="212">
        <v>6500</v>
      </c>
      <c r="F1352" s="195">
        <v>3250</v>
      </c>
      <c r="G1352" s="210">
        <v>2</v>
      </c>
      <c r="H1352" s="197">
        <v>400</v>
      </c>
      <c r="I1352" s="206"/>
      <c r="J1352" s="282">
        <v>6900</v>
      </c>
      <c r="K1352" s="295" t="s">
        <v>2093</v>
      </c>
      <c r="L1352" s="284">
        <v>6500</v>
      </c>
    </row>
    <row r="1353" spans="1:12">
      <c r="A1353" s="213" t="s">
        <v>39</v>
      </c>
      <c r="B1353" s="199">
        <v>46202</v>
      </c>
      <c r="C1353" s="14" t="s">
        <v>2180</v>
      </c>
      <c r="D1353" s="205" t="s">
        <v>2159</v>
      </c>
      <c r="E1353" s="202">
        <v>8000</v>
      </c>
      <c r="F1353" s="195">
        <f t="shared" ref="F1353" si="387">SUM(E1353*0.5)</f>
        <v>4000</v>
      </c>
      <c r="G1353" s="203">
        <v>1</v>
      </c>
      <c r="H1353" s="197">
        <f t="shared" ref="H1353" si="388">SUM(G1353*200)</f>
        <v>200</v>
      </c>
      <c r="I1353" s="202"/>
      <c r="J1353" s="282">
        <v>8200</v>
      </c>
      <c r="K1353" s="288" t="s">
        <v>42</v>
      </c>
      <c r="L1353" s="284">
        <v>8000</v>
      </c>
    </row>
    <row r="1354" spans="1:12">
      <c r="A1354" s="213" t="s">
        <v>43</v>
      </c>
      <c r="B1354" s="199">
        <v>46191</v>
      </c>
      <c r="C1354" s="204" t="s">
        <v>2172</v>
      </c>
      <c r="D1354" s="14" t="s">
        <v>2160</v>
      </c>
      <c r="E1354" s="202">
        <v>8500</v>
      </c>
      <c r="F1354" s="195">
        <v>4250</v>
      </c>
      <c r="G1354" s="203">
        <v>2</v>
      </c>
      <c r="H1354" s="197">
        <v>400</v>
      </c>
      <c r="I1354" s="206"/>
      <c r="J1354" s="282">
        <v>8900</v>
      </c>
      <c r="K1354" s="288" t="s">
        <v>1599</v>
      </c>
      <c r="L1354" s="284">
        <v>8500</v>
      </c>
    </row>
    <row r="1355" spans="1:12">
      <c r="A1355" s="213" t="s">
        <v>47</v>
      </c>
      <c r="B1355" s="199"/>
      <c r="C1355" s="204" t="s">
        <v>162</v>
      </c>
      <c r="D1355" s="205"/>
      <c r="E1355" s="202"/>
      <c r="F1355" s="195"/>
      <c r="G1355" s="203"/>
      <c r="H1355" s="197"/>
      <c r="I1355" s="202"/>
      <c r="J1355" s="282"/>
      <c r="K1355" s="288"/>
      <c r="L1355" s="291"/>
    </row>
    <row r="1356" spans="1:12">
      <c r="A1356" s="213" t="s">
        <v>51</v>
      </c>
      <c r="B1356" s="199">
        <v>46205</v>
      </c>
      <c r="C1356" s="204" t="s">
        <v>2266</v>
      </c>
      <c r="D1356" s="205" t="s">
        <v>2156</v>
      </c>
      <c r="E1356" s="212">
        <v>8500</v>
      </c>
      <c r="F1356" s="195">
        <f t="shared" ref="F1356:F1361" si="389">SUM(E1356*0.5)</f>
        <v>4250</v>
      </c>
      <c r="G1356" s="210">
        <v>2</v>
      </c>
      <c r="H1356" s="197">
        <f t="shared" ref="H1356:H1360" si="390">SUM(G1356*200)</f>
        <v>400</v>
      </c>
      <c r="I1356" s="212"/>
      <c r="J1356" s="282">
        <v>8920</v>
      </c>
      <c r="K1356" s="295" t="s">
        <v>577</v>
      </c>
      <c r="L1356" s="284">
        <v>8500</v>
      </c>
    </row>
    <row r="1357" spans="1:12">
      <c r="A1357" s="213" t="s">
        <v>55</v>
      </c>
      <c r="B1357" s="199">
        <v>46199</v>
      </c>
      <c r="C1357" s="204" t="s">
        <v>2173</v>
      </c>
      <c r="D1357" s="205" t="s">
        <v>2154</v>
      </c>
      <c r="E1357" s="202">
        <v>8000</v>
      </c>
      <c r="F1357" s="195">
        <f t="shared" si="389"/>
        <v>4000</v>
      </c>
      <c r="G1357" s="203">
        <v>0</v>
      </c>
      <c r="H1357" s="197">
        <f t="shared" si="390"/>
        <v>0</v>
      </c>
      <c r="I1357" s="206"/>
      <c r="J1357" s="282">
        <v>8000</v>
      </c>
      <c r="K1357" s="288" t="s">
        <v>2174</v>
      </c>
      <c r="L1357" s="284">
        <v>8000</v>
      </c>
    </row>
    <row r="1358" spans="1:12">
      <c r="A1358" s="213" t="s">
        <v>58</v>
      </c>
      <c r="B1358" s="199">
        <v>46188</v>
      </c>
      <c r="C1358" s="355" t="s">
        <v>2169</v>
      </c>
      <c r="D1358" s="205" t="s">
        <v>2156</v>
      </c>
      <c r="E1358" s="202">
        <v>6500</v>
      </c>
      <c r="F1358" s="195">
        <f t="shared" si="389"/>
        <v>3250</v>
      </c>
      <c r="G1358" s="203">
        <v>0</v>
      </c>
      <c r="H1358" s="197">
        <f t="shared" si="390"/>
        <v>0</v>
      </c>
      <c r="I1358" s="206"/>
      <c r="J1358" s="254">
        <v>6500</v>
      </c>
      <c r="K1358" s="296" t="s">
        <v>2170</v>
      </c>
      <c r="L1358" s="284">
        <v>6500</v>
      </c>
    </row>
    <row r="1359" spans="1:12">
      <c r="A1359" s="213" t="s">
        <v>60</v>
      </c>
      <c r="B1359" s="199">
        <v>46204</v>
      </c>
      <c r="C1359" s="14" t="s">
        <v>2264</v>
      </c>
      <c r="D1359" s="205" t="s">
        <v>2161</v>
      </c>
      <c r="E1359" s="202">
        <v>6500</v>
      </c>
      <c r="F1359" s="195">
        <f t="shared" si="389"/>
        <v>3250</v>
      </c>
      <c r="G1359" s="203">
        <v>1</v>
      </c>
      <c r="H1359" s="197">
        <f t="shared" si="390"/>
        <v>200</v>
      </c>
      <c r="I1359" s="206"/>
      <c r="J1359" s="254">
        <v>6700</v>
      </c>
      <c r="K1359" s="295" t="s">
        <v>1725</v>
      </c>
      <c r="L1359" s="284">
        <v>6500</v>
      </c>
    </row>
    <row r="1360" spans="1:12">
      <c r="A1360" s="214" t="s">
        <v>63</v>
      </c>
      <c r="B1360" s="199">
        <v>46212</v>
      </c>
      <c r="C1360" s="204" t="s">
        <v>2269</v>
      </c>
      <c r="D1360" s="205" t="s">
        <v>2162</v>
      </c>
      <c r="E1360" s="206">
        <v>9000</v>
      </c>
      <c r="F1360" s="195">
        <f t="shared" si="389"/>
        <v>4500</v>
      </c>
      <c r="G1360" s="203">
        <v>2</v>
      </c>
      <c r="H1360" s="197">
        <f t="shared" si="390"/>
        <v>400</v>
      </c>
      <c r="I1360" s="206"/>
      <c r="J1360" s="282">
        <v>9400</v>
      </c>
      <c r="K1360" s="288" t="s">
        <v>584</v>
      </c>
      <c r="L1360" s="291">
        <v>9000</v>
      </c>
    </row>
    <row r="1361" spans="1:12">
      <c r="A1361" s="214" t="s">
        <v>67</v>
      </c>
      <c r="B1361" s="199">
        <v>46201</v>
      </c>
      <c r="C1361" s="14" t="s">
        <v>2175</v>
      </c>
      <c r="D1361" s="205" t="s">
        <v>2157</v>
      </c>
      <c r="E1361" s="206">
        <v>8500</v>
      </c>
      <c r="F1361" s="195">
        <f t="shared" si="389"/>
        <v>4250</v>
      </c>
      <c r="G1361" s="203">
        <v>0</v>
      </c>
      <c r="H1361" s="197">
        <v>0</v>
      </c>
      <c r="I1361" s="206"/>
      <c r="J1361" s="282">
        <v>8500</v>
      </c>
      <c r="K1361" s="288" t="s">
        <v>2176</v>
      </c>
      <c r="L1361" s="284">
        <v>8500</v>
      </c>
    </row>
    <row r="1362" spans="1:12">
      <c r="A1362" s="214" t="s">
        <v>71</v>
      </c>
      <c r="B1362" s="199">
        <v>46202</v>
      </c>
      <c r="C1362" s="204" t="s">
        <v>2179</v>
      </c>
      <c r="D1362" s="205" t="s">
        <v>2161</v>
      </c>
      <c r="E1362" s="206">
        <v>8500</v>
      </c>
      <c r="F1362" s="195">
        <f t="shared" ref="F1362:F1365" si="391">SUM(E1362*0.5)</f>
        <v>4250</v>
      </c>
      <c r="G1362" s="203">
        <v>2</v>
      </c>
      <c r="H1362" s="197">
        <f t="shared" ref="H1362:H1365" si="392">SUM(G1362*200)</f>
        <v>400</v>
      </c>
      <c r="I1362" s="206"/>
      <c r="J1362" s="282">
        <v>8900</v>
      </c>
      <c r="K1362" s="288" t="s">
        <v>383</v>
      </c>
      <c r="L1362" s="291">
        <v>8500</v>
      </c>
    </row>
    <row r="1363" spans="1:12">
      <c r="A1363" s="214" t="s">
        <v>74</v>
      </c>
      <c r="B1363" s="199">
        <v>46203</v>
      </c>
      <c r="C1363" s="14" t="s">
        <v>2181</v>
      </c>
      <c r="D1363" s="205" t="s">
        <v>2156</v>
      </c>
      <c r="E1363" s="206">
        <v>8500</v>
      </c>
      <c r="F1363" s="195">
        <f t="shared" si="391"/>
        <v>4250</v>
      </c>
      <c r="G1363" s="203">
        <v>1</v>
      </c>
      <c r="H1363" s="197">
        <f t="shared" si="392"/>
        <v>200</v>
      </c>
      <c r="I1363" s="206"/>
      <c r="J1363" s="282">
        <v>8700</v>
      </c>
      <c r="K1363" s="288" t="s">
        <v>2032</v>
      </c>
      <c r="L1363" s="291">
        <v>8500</v>
      </c>
    </row>
    <row r="1364" spans="1:12">
      <c r="A1364" s="214" t="s">
        <v>77</v>
      </c>
      <c r="B1364" s="199">
        <v>46202</v>
      </c>
      <c r="C1364" s="208" t="s">
        <v>2177</v>
      </c>
      <c r="D1364" s="205" t="s">
        <v>2159</v>
      </c>
      <c r="E1364" s="206">
        <v>8000</v>
      </c>
      <c r="F1364" s="195">
        <f t="shared" si="391"/>
        <v>4000</v>
      </c>
      <c r="G1364" s="203">
        <v>2</v>
      </c>
      <c r="H1364" s="197">
        <f t="shared" si="392"/>
        <v>400</v>
      </c>
      <c r="I1364" s="206"/>
      <c r="J1364" s="282">
        <v>8400</v>
      </c>
      <c r="K1364" s="288" t="s">
        <v>340</v>
      </c>
      <c r="L1364" s="291">
        <v>8000</v>
      </c>
    </row>
    <row r="1365" spans="1:12">
      <c r="A1365" s="214" t="s">
        <v>81</v>
      </c>
      <c r="B1365" s="199">
        <v>46228</v>
      </c>
      <c r="C1365" s="208" t="s">
        <v>2273</v>
      </c>
      <c r="D1365" s="177" t="s">
        <v>2163</v>
      </c>
      <c r="E1365" s="209">
        <v>6500</v>
      </c>
      <c r="F1365" s="195">
        <f t="shared" si="391"/>
        <v>3250</v>
      </c>
      <c r="G1365" s="210">
        <v>1</v>
      </c>
      <c r="H1365" s="197">
        <f t="shared" si="392"/>
        <v>200</v>
      </c>
      <c r="I1365" s="206"/>
      <c r="J1365" s="282">
        <v>6700</v>
      </c>
      <c r="K1365" s="295" t="s">
        <v>1904</v>
      </c>
      <c r="L1365" s="291">
        <v>6500</v>
      </c>
    </row>
    <row r="1366" spans="1:12">
      <c r="A1366" s="215" t="s">
        <v>84</v>
      </c>
      <c r="B1366" s="216"/>
      <c r="C1366" s="208" t="s">
        <v>162</v>
      </c>
      <c r="D1366" s="208"/>
      <c r="E1366" s="209"/>
      <c r="F1366" s="195"/>
      <c r="G1366" s="210"/>
      <c r="H1366" s="197"/>
      <c r="I1366" s="209"/>
      <c r="J1366" s="254"/>
      <c r="K1366" s="24"/>
      <c r="L1366" s="287"/>
    </row>
    <row r="1367" spans="1:12" ht="15.75" thickBot="1">
      <c r="A1367" s="221"/>
      <c r="B1367" s="222"/>
      <c r="C1367" s="223"/>
      <c r="D1367" s="224"/>
      <c r="E1367" s="225">
        <f>SUM(E1345:E1366)</f>
        <v>152250</v>
      </c>
      <c r="F1367" s="226">
        <f>SUM(F1345:F1366)</f>
        <v>76125</v>
      </c>
      <c r="G1367" s="225">
        <f t="shared" ref="G1367:J1367" si="393">SUM(G1345:G1366)</f>
        <v>27</v>
      </c>
      <c r="H1367" s="227">
        <f t="shared" si="393"/>
        <v>5400</v>
      </c>
      <c r="I1367" s="225">
        <f t="shared" si="393"/>
        <v>0</v>
      </c>
      <c r="J1367" s="227">
        <f t="shared" si="393"/>
        <v>157670</v>
      </c>
      <c r="K1367" s="306"/>
      <c r="L1367" s="307">
        <f>SUM(L1345:L1366)</f>
        <v>150000</v>
      </c>
    </row>
    <row r="1368" spans="1:12">
      <c r="A1368" s="228" t="s">
        <v>88</v>
      </c>
      <c r="B1368" s="229"/>
      <c r="C1368" s="230"/>
      <c r="D1368" s="205"/>
      <c r="E1368" s="195"/>
      <c r="F1368" s="195"/>
      <c r="G1368" s="231"/>
      <c r="H1368" s="195"/>
      <c r="I1368" s="195"/>
      <c r="J1368" s="230"/>
      <c r="K1368" s="309"/>
      <c r="L1368" s="291"/>
    </row>
    <row r="1369" spans="1:12">
      <c r="A1369" s="176" t="s">
        <v>89</v>
      </c>
      <c r="B1369" s="199">
        <v>46183</v>
      </c>
      <c r="C1369" s="204" t="s">
        <v>90</v>
      </c>
      <c r="D1369" s="205" t="s">
        <v>1229</v>
      </c>
      <c r="E1369" s="206">
        <v>10000</v>
      </c>
      <c r="F1369" s="195"/>
      <c r="G1369" s="232">
        <v>2</v>
      </c>
      <c r="H1369" s="197">
        <f t="shared" ref="H1369:H1371" si="394">SUM(G1369*200)</f>
        <v>400</v>
      </c>
      <c r="I1369" s="206"/>
      <c r="J1369" s="282">
        <v>10400</v>
      </c>
      <c r="K1369" s="288" t="s">
        <v>92</v>
      </c>
      <c r="L1369" s="291">
        <v>10000</v>
      </c>
    </row>
    <row r="1370" spans="1:12">
      <c r="A1370" s="176" t="s">
        <v>93</v>
      </c>
      <c r="B1370" s="199">
        <v>46203</v>
      </c>
      <c r="C1370" s="207" t="s">
        <v>94</v>
      </c>
      <c r="D1370" s="177" t="s">
        <v>2164</v>
      </c>
      <c r="E1370" s="212">
        <v>10000</v>
      </c>
      <c r="F1370" s="233"/>
      <c r="G1370" s="210">
        <v>2</v>
      </c>
      <c r="H1370" s="197">
        <f t="shared" si="394"/>
        <v>400</v>
      </c>
      <c r="I1370" s="202"/>
      <c r="J1370" s="282">
        <v>10400</v>
      </c>
      <c r="K1370" s="310" t="s">
        <v>96</v>
      </c>
      <c r="L1370" s="284">
        <v>6000</v>
      </c>
    </row>
    <row r="1371" spans="1:12">
      <c r="A1371" s="176" t="s">
        <v>97</v>
      </c>
      <c r="B1371" s="199">
        <v>46188</v>
      </c>
      <c r="C1371" s="204" t="s">
        <v>98</v>
      </c>
      <c r="D1371" s="205" t="s">
        <v>2165</v>
      </c>
      <c r="E1371" s="234">
        <v>12000</v>
      </c>
      <c r="F1371" s="235"/>
      <c r="G1371" s="232">
        <v>2</v>
      </c>
      <c r="H1371" s="197">
        <f t="shared" si="394"/>
        <v>400</v>
      </c>
      <c r="I1371" s="206"/>
      <c r="J1371" s="282">
        <v>12400</v>
      </c>
      <c r="K1371" s="288" t="s">
        <v>99</v>
      </c>
      <c r="L1371" s="291">
        <v>12000</v>
      </c>
    </row>
    <row r="1372" spans="1:12">
      <c r="A1372" s="176" t="s">
        <v>100</v>
      </c>
      <c r="B1372" s="199">
        <v>46190</v>
      </c>
      <c r="C1372" s="236" t="s">
        <v>2036</v>
      </c>
      <c r="D1372" s="205" t="s">
        <v>2166</v>
      </c>
      <c r="E1372" s="212">
        <v>12000</v>
      </c>
      <c r="F1372" s="195"/>
      <c r="G1372" s="210">
        <v>2</v>
      </c>
      <c r="H1372" s="197">
        <v>400</v>
      </c>
      <c r="I1372" s="212"/>
      <c r="J1372" s="282">
        <v>12400</v>
      </c>
      <c r="K1372" s="295" t="s">
        <v>2038</v>
      </c>
      <c r="L1372" s="284">
        <v>12000</v>
      </c>
    </row>
    <row r="1373" spans="1:12">
      <c r="A1373" s="176" t="s">
        <v>104</v>
      </c>
      <c r="B1373" s="339">
        <v>46208</v>
      </c>
      <c r="C1373" s="237" t="s">
        <v>1575</v>
      </c>
      <c r="D1373" s="205" t="s">
        <v>2161</v>
      </c>
      <c r="E1373" s="206">
        <v>12000</v>
      </c>
      <c r="F1373" s="195"/>
      <c r="G1373" s="238">
        <v>2</v>
      </c>
      <c r="H1373" s="197">
        <f t="shared" ref="H1373" si="395">SUM(G1373*200)</f>
        <v>400</v>
      </c>
      <c r="I1373" s="219"/>
      <c r="J1373" s="282">
        <v>12400</v>
      </c>
      <c r="K1373" s="311" t="s">
        <v>107</v>
      </c>
      <c r="L1373" s="291">
        <v>12000</v>
      </c>
    </row>
    <row r="1374" spans="1:12" ht="15.75" thickBot="1">
      <c r="A1374" s="239"/>
      <c r="B1374" s="240"/>
      <c r="C1374" s="241" t="s">
        <v>108</v>
      </c>
      <c r="D1374" s="242"/>
      <c r="E1374" s="243">
        <f>SUM(E1369:E1372)</f>
        <v>44000</v>
      </c>
      <c r="F1374" s="226"/>
      <c r="G1374" s="226">
        <f>SUM(G1369:G1372)</f>
        <v>8</v>
      </c>
      <c r="H1374" s="226">
        <f>SUM(H1369:H1372)</f>
        <v>1600</v>
      </c>
      <c r="I1374" s="243">
        <f>SUM(I1369:I1372)</f>
        <v>0</v>
      </c>
      <c r="J1374" s="226">
        <f>SUM(J1369:J1372)</f>
        <v>45600</v>
      </c>
      <c r="K1374" s="306"/>
      <c r="L1374" s="312">
        <f>SUM(L1369:L1373)</f>
        <v>52000</v>
      </c>
    </row>
    <row r="1375" spans="1:12">
      <c r="A1375" s="228" t="s">
        <v>109</v>
      </c>
      <c r="B1375" s="244"/>
      <c r="C1375" s="245"/>
      <c r="D1375" s="205"/>
      <c r="E1375" s="195"/>
      <c r="F1375" s="195"/>
      <c r="G1375" s="231"/>
      <c r="H1375" s="195"/>
      <c r="I1375" s="195"/>
      <c r="J1375" s="195"/>
      <c r="K1375" s="309"/>
      <c r="L1375" s="313"/>
    </row>
    <row r="1376" spans="1:12" ht="15.75" thickBot="1">
      <c r="A1376" s="246" t="s">
        <v>110</v>
      </c>
      <c r="B1376" s="247"/>
      <c r="C1376" s="248" t="s">
        <v>111</v>
      </c>
      <c r="D1376" s="242"/>
      <c r="E1376" s="243"/>
      <c r="F1376" s="226"/>
      <c r="G1376" s="249"/>
      <c r="H1376" s="226"/>
      <c r="I1376" s="243"/>
      <c r="J1376" s="226"/>
      <c r="K1376" s="306"/>
      <c r="L1376" s="312"/>
    </row>
    <row r="1377" spans="1:12">
      <c r="A1377" s="228" t="s">
        <v>112</v>
      </c>
      <c r="B1377" s="250"/>
      <c r="C1377" s="245"/>
      <c r="D1377" s="205"/>
      <c r="E1377" s="195"/>
      <c r="F1377" s="195"/>
      <c r="G1377" s="231"/>
      <c r="H1377" s="195"/>
      <c r="I1377" s="195"/>
      <c r="J1377" s="195"/>
      <c r="K1377" s="309"/>
      <c r="L1377" s="313"/>
    </row>
    <row r="1378" spans="1:12">
      <c r="A1378" s="176" t="s">
        <v>113</v>
      </c>
      <c r="B1378" s="199">
        <v>46078</v>
      </c>
      <c r="C1378" s="251" t="s">
        <v>114</v>
      </c>
      <c r="D1378" s="177" t="s">
        <v>2159</v>
      </c>
      <c r="E1378" s="206">
        <v>12600</v>
      </c>
      <c r="F1378" s="230"/>
      <c r="G1378" s="209">
        <v>2</v>
      </c>
      <c r="H1378" s="197">
        <f t="shared" ref="H1378:H1380" si="396">SUM(G1378*200)</f>
        <v>400</v>
      </c>
      <c r="I1378" s="314"/>
      <c r="J1378" s="282">
        <v>12400</v>
      </c>
      <c r="K1378" s="295" t="s">
        <v>115</v>
      </c>
      <c r="L1378" s="291">
        <v>12000</v>
      </c>
    </row>
    <row r="1379" spans="1:12">
      <c r="A1379" s="176" t="s">
        <v>116</v>
      </c>
      <c r="B1379" s="199">
        <v>46175</v>
      </c>
      <c r="C1379" s="252" t="s">
        <v>117</v>
      </c>
      <c r="D1379" s="205" t="s">
        <v>2167</v>
      </c>
      <c r="E1379" s="206">
        <v>7000</v>
      </c>
      <c r="F1379" s="195"/>
      <c r="G1379" s="209">
        <v>1</v>
      </c>
      <c r="H1379" s="197">
        <f t="shared" si="396"/>
        <v>200</v>
      </c>
      <c r="I1379" s="314"/>
      <c r="J1379" s="282">
        <v>7200</v>
      </c>
      <c r="K1379" s="288" t="s">
        <v>119</v>
      </c>
      <c r="L1379" s="291">
        <v>7000</v>
      </c>
    </row>
    <row r="1380" spans="1:12">
      <c r="A1380" s="176" t="s">
        <v>120</v>
      </c>
      <c r="B1380" s="199">
        <v>46192</v>
      </c>
      <c r="C1380" s="253" t="s">
        <v>121</v>
      </c>
      <c r="D1380" s="177" t="s">
        <v>2156</v>
      </c>
      <c r="E1380" s="209">
        <v>10000</v>
      </c>
      <c r="F1380" s="254"/>
      <c r="G1380" s="209">
        <v>2</v>
      </c>
      <c r="H1380" s="197">
        <f t="shared" si="396"/>
        <v>400</v>
      </c>
      <c r="I1380" s="315"/>
      <c r="J1380" s="254">
        <v>10400</v>
      </c>
      <c r="K1380" s="316" t="s">
        <v>122</v>
      </c>
      <c r="L1380" s="291">
        <v>10000</v>
      </c>
    </row>
    <row r="1381" spans="1:12" ht="15.75" thickBot="1">
      <c r="A1381" s="246"/>
      <c r="B1381" s="247"/>
      <c r="C1381" s="255"/>
      <c r="D1381" s="242"/>
      <c r="E1381" s="256">
        <f>SUM(E1378:E1380)</f>
        <v>29600</v>
      </c>
      <c r="F1381" s="257"/>
      <c r="G1381" s="256">
        <f>SUM(G1378:G1380)</f>
        <v>5</v>
      </c>
      <c r="H1381" s="257">
        <f>SUM(H1378:H1380)</f>
        <v>1000</v>
      </c>
      <c r="I1381" s="257">
        <f>SUM(I1378:I1380)</f>
        <v>0</v>
      </c>
      <c r="J1381" s="257">
        <f>SUM(J1378:J1380)</f>
        <v>30000</v>
      </c>
      <c r="K1381" s="317"/>
      <c r="L1381" s="312">
        <f>SUM(L1378:L1380)</f>
        <v>29000</v>
      </c>
    </row>
    <row r="1382" spans="1:12">
      <c r="B1382" s="244"/>
      <c r="C1382" s="80"/>
      <c r="D1382" s="258"/>
      <c r="E1382" s="259">
        <f>SUM(E1367,E1374,E1376,E1381)</f>
        <v>225850</v>
      </c>
      <c r="F1382" s="260"/>
      <c r="G1382" s="259">
        <f>SUM(G1367,G1374,G1376,G1381)</f>
        <v>40</v>
      </c>
      <c r="H1382" s="259">
        <f>SUM(H1367,H1374,H1376,H1381)</f>
        <v>8000</v>
      </c>
      <c r="I1382" s="318">
        <f>SUM(I1367,I1374,I1376,I1381)</f>
        <v>0</v>
      </c>
      <c r="J1382" s="259">
        <f>SUM(J1367,J1374,J1376,J1381)</f>
        <v>233270</v>
      </c>
      <c r="K1382" s="319"/>
      <c r="L1382" s="291"/>
    </row>
    <row r="1383" spans="1:12">
      <c r="A1383" s="228" t="s">
        <v>123</v>
      </c>
      <c r="B1383" s="261"/>
      <c r="C1383" s="262" t="s">
        <v>108</v>
      </c>
      <c r="D1383" s="15"/>
      <c r="E1383" s="195"/>
      <c r="F1383" s="263" t="s">
        <v>124</v>
      </c>
      <c r="G1383" s="264"/>
      <c r="H1383" s="195"/>
      <c r="I1383" s="195"/>
      <c r="J1383" s="230"/>
      <c r="K1383" s="309"/>
      <c r="L1383" s="284"/>
    </row>
    <row r="1384" spans="1:12">
      <c r="A1384" s="176" t="s">
        <v>125</v>
      </c>
      <c r="B1384" s="199">
        <v>46184</v>
      </c>
      <c r="C1384" s="265" t="s">
        <v>126</v>
      </c>
      <c r="D1384" s="205" t="s">
        <v>2168</v>
      </c>
      <c r="E1384" s="202">
        <v>5000</v>
      </c>
      <c r="F1384" s="266">
        <v>325</v>
      </c>
      <c r="G1384" s="203">
        <v>2</v>
      </c>
      <c r="H1384" s="266">
        <f t="shared" ref="H1384:H1385" si="397">SUM(G1384*200)</f>
        <v>400</v>
      </c>
      <c r="I1384" s="202"/>
      <c r="J1384" s="282">
        <v>5400</v>
      </c>
      <c r="K1384" s="319" t="s">
        <v>128</v>
      </c>
      <c r="L1384" s="284">
        <v>5000</v>
      </c>
    </row>
    <row r="1385" spans="1:12">
      <c r="A1385" s="176" t="s">
        <v>129</v>
      </c>
      <c r="B1385" s="199">
        <v>46205</v>
      </c>
      <c r="C1385" s="265" t="s">
        <v>130</v>
      </c>
      <c r="D1385" s="205" t="s">
        <v>2163</v>
      </c>
      <c r="E1385" s="206">
        <v>5500</v>
      </c>
      <c r="F1385" s="195"/>
      <c r="G1385" s="203">
        <v>1</v>
      </c>
      <c r="H1385" s="266">
        <f t="shared" si="397"/>
        <v>200</v>
      </c>
      <c r="I1385" s="206"/>
      <c r="J1385" s="282">
        <f>SUM(E1385,H1385:I1385)</f>
        <v>5700</v>
      </c>
      <c r="K1385" s="319" t="s">
        <v>132</v>
      </c>
      <c r="L1385" s="291">
        <v>5500</v>
      </c>
    </row>
    <row r="1386" spans="1:12" ht="15.75" thickBot="1">
      <c r="A1386" s="267" t="s">
        <v>133</v>
      </c>
      <c r="B1386" s="268"/>
      <c r="C1386" s="269"/>
      <c r="D1386" s="242"/>
      <c r="E1386" s="270">
        <f>SUM(E1384:E1385)</f>
        <v>10500</v>
      </c>
      <c r="F1386" s="226">
        <f t="shared" ref="F1386:I1386" si="398">SUM(F1384:F1385)</f>
        <v>325</v>
      </c>
      <c r="G1386" s="243">
        <f t="shared" si="398"/>
        <v>3</v>
      </c>
      <c r="H1386" s="226">
        <f t="shared" si="398"/>
        <v>600</v>
      </c>
      <c r="I1386" s="320">
        <f t="shared" si="398"/>
        <v>0</v>
      </c>
      <c r="J1386" s="321">
        <f>SUM(F1386,H1386,I1386,)</f>
        <v>925</v>
      </c>
      <c r="K1386" s="322"/>
      <c r="L1386" s="322"/>
    </row>
    <row r="1387" spans="1:12">
      <c r="E1387" s="271" t="s">
        <v>134</v>
      </c>
      <c r="F1387" s="272">
        <f>SUM(F1382,F1386)</f>
        <v>325</v>
      </c>
      <c r="H1387" s="272">
        <f>SUM(H1382,H1386)</f>
        <v>8600</v>
      </c>
      <c r="I1387" s="324">
        <f>SUM(I1382,I1386)</f>
        <v>0</v>
      </c>
      <c r="J1387" s="325" t="s">
        <v>135</v>
      </c>
    </row>
    <row r="1388" spans="1:12">
      <c r="D1388" s="326">
        <f>SUM(E888,E932,E977,E1022,E1067,E1112,E1157,E1202,E1247,E1292,E1337,E1382)</f>
        <v>1172650</v>
      </c>
      <c r="E1388" s="326">
        <f>SUM(E873,E917,E962,E1013,E1052,E1097,E1142,E1187,E1232,E1277,E1322,E1367)</f>
        <v>239350</v>
      </c>
    </row>
    <row r="1389" spans="1:12">
      <c r="A1389" s="340" t="s">
        <v>1806</v>
      </c>
    </row>
    <row r="1390" spans="1:12" ht="18.75" thickBot="1">
      <c r="A1390" s="185" t="s">
        <v>8</v>
      </c>
      <c r="B1390" s="348" t="s">
        <v>2274</v>
      </c>
      <c r="C1390" s="187"/>
    </row>
    <row r="1391" spans="1:12">
      <c r="A1391" s="190" t="s">
        <v>10</v>
      </c>
      <c r="B1391" s="191">
        <v>46239</v>
      </c>
      <c r="C1391" s="7" t="s">
        <v>2314</v>
      </c>
      <c r="D1391" s="193" t="s">
        <v>2275</v>
      </c>
      <c r="E1391" s="194">
        <v>8000</v>
      </c>
      <c r="F1391" s="195">
        <f>SUM(E1391*0.5)</f>
        <v>4000</v>
      </c>
      <c r="G1391" s="196">
        <v>1</v>
      </c>
      <c r="H1391" s="197">
        <f t="shared" ref="H1391:H1394" si="399">SUM(G1391*200)</f>
        <v>200</v>
      </c>
      <c r="I1391" s="194"/>
      <c r="J1391" s="279">
        <v>8200</v>
      </c>
      <c r="K1391" s="280" t="s">
        <v>13</v>
      </c>
      <c r="L1391" s="281">
        <v>8000</v>
      </c>
    </row>
    <row r="1392" spans="1:12">
      <c r="A1392" s="198" t="s">
        <v>14</v>
      </c>
      <c r="B1392" s="199">
        <v>46239</v>
      </c>
      <c r="C1392" s="201" t="s">
        <v>2313</v>
      </c>
      <c r="D1392" s="201" t="s">
        <v>2276</v>
      </c>
      <c r="E1392" s="202">
        <v>8500</v>
      </c>
      <c r="F1392" s="195">
        <f>SUM(E1392*0.5)</f>
        <v>4250</v>
      </c>
      <c r="G1392" s="203">
        <v>3</v>
      </c>
      <c r="H1392" s="197">
        <f t="shared" si="399"/>
        <v>600</v>
      </c>
      <c r="I1392" s="206"/>
      <c r="J1392" s="282">
        <v>9100</v>
      </c>
      <c r="K1392" s="283" t="s">
        <v>314</v>
      </c>
      <c r="L1392" s="284">
        <v>8500</v>
      </c>
    </row>
    <row r="1393" spans="1:12">
      <c r="A1393" s="190" t="s">
        <v>18</v>
      </c>
      <c r="B1393" s="199">
        <v>46234</v>
      </c>
      <c r="C1393" s="14" t="s">
        <v>2303</v>
      </c>
      <c r="D1393" s="205" t="s">
        <v>2277</v>
      </c>
      <c r="E1393" s="202">
        <v>8000</v>
      </c>
      <c r="F1393" s="195">
        <f t="shared" ref="F1393:F1394" si="400">SUM(E1393*0.5)</f>
        <v>4000</v>
      </c>
      <c r="G1393" s="203">
        <v>1</v>
      </c>
      <c r="H1393" s="197">
        <f t="shared" si="399"/>
        <v>200</v>
      </c>
      <c r="I1393" s="206"/>
      <c r="J1393" s="282">
        <f>SUM(E1393,H1393:I1393)</f>
        <v>8200</v>
      </c>
      <c r="K1393" s="288" t="s">
        <v>21</v>
      </c>
      <c r="L1393" s="284">
        <v>8000</v>
      </c>
    </row>
    <row r="1394" spans="1:12" ht="25.5">
      <c r="A1394" s="190" t="s">
        <v>22</v>
      </c>
      <c r="B1394" s="199">
        <v>46222</v>
      </c>
      <c r="C1394" s="26" t="s">
        <v>2292</v>
      </c>
      <c r="D1394" s="205" t="s">
        <v>2278</v>
      </c>
      <c r="E1394" s="206">
        <v>7250</v>
      </c>
      <c r="F1394" s="195">
        <f t="shared" si="400"/>
        <v>3625</v>
      </c>
      <c r="G1394" s="203">
        <v>1</v>
      </c>
      <c r="H1394" s="197">
        <f t="shared" si="399"/>
        <v>200</v>
      </c>
      <c r="I1394" s="206"/>
      <c r="J1394" s="282">
        <v>7450</v>
      </c>
      <c r="K1394" s="290" t="s">
        <v>25</v>
      </c>
      <c r="L1394" s="291">
        <v>5000</v>
      </c>
    </row>
    <row r="1395" spans="1:12">
      <c r="A1395" s="190" t="s">
        <v>26</v>
      </c>
      <c r="B1395" s="199">
        <v>46228</v>
      </c>
      <c r="C1395" s="208" t="s">
        <v>2298</v>
      </c>
      <c r="D1395" s="205" t="s">
        <v>2279</v>
      </c>
      <c r="E1395" s="209">
        <v>6000</v>
      </c>
      <c r="F1395" s="195">
        <v>3000</v>
      </c>
      <c r="G1395" s="210">
        <v>1</v>
      </c>
      <c r="H1395" s="197">
        <v>200</v>
      </c>
      <c r="I1395" s="209"/>
      <c r="J1395" s="254">
        <v>6200</v>
      </c>
      <c r="K1395" s="288" t="s">
        <v>2031</v>
      </c>
      <c r="L1395" s="291">
        <v>6000</v>
      </c>
    </row>
    <row r="1396" spans="1:12">
      <c r="A1396" s="190" t="s">
        <v>30</v>
      </c>
      <c r="B1396" s="199">
        <v>46237</v>
      </c>
      <c r="C1396" s="363" t="s">
        <v>2310</v>
      </c>
      <c r="D1396" s="205" t="s">
        <v>2280</v>
      </c>
      <c r="E1396" s="209">
        <v>6500</v>
      </c>
      <c r="F1396" s="195">
        <v>3250</v>
      </c>
      <c r="G1396" s="210">
        <v>3</v>
      </c>
      <c r="H1396" s="197">
        <v>600</v>
      </c>
      <c r="I1396" s="209"/>
      <c r="J1396" s="254">
        <v>7100</v>
      </c>
      <c r="K1396" s="294" t="s">
        <v>1344</v>
      </c>
      <c r="L1396" s="287">
        <v>6500</v>
      </c>
    </row>
    <row r="1397" spans="1:12">
      <c r="A1397" s="190" t="s">
        <v>33</v>
      </c>
      <c r="B1397" s="199">
        <v>46237</v>
      </c>
      <c r="C1397" s="14" t="s">
        <v>2309</v>
      </c>
      <c r="D1397" s="205" t="s">
        <v>2277</v>
      </c>
      <c r="E1397" s="202">
        <v>6500</v>
      </c>
      <c r="F1397" s="195">
        <f t="shared" ref="F1397" si="401">SUM(E1397*0.5)</f>
        <v>3250</v>
      </c>
      <c r="G1397" s="210">
        <v>1</v>
      </c>
      <c r="H1397" s="197">
        <f t="shared" ref="H1397" si="402">SUM(G1397*200)</f>
        <v>200</v>
      </c>
      <c r="I1397" s="202"/>
      <c r="J1397" s="197">
        <v>6700</v>
      </c>
      <c r="K1397" s="288" t="s">
        <v>2035</v>
      </c>
      <c r="L1397" s="284">
        <v>6500</v>
      </c>
    </row>
    <row r="1398" spans="1:12">
      <c r="A1398" s="190" t="s">
        <v>35</v>
      </c>
      <c r="B1398" s="199">
        <v>46228</v>
      </c>
      <c r="C1398" s="211" t="s">
        <v>2297</v>
      </c>
      <c r="D1398" s="177" t="s">
        <v>2281</v>
      </c>
      <c r="E1398" s="212">
        <v>6500</v>
      </c>
      <c r="F1398" s="195">
        <v>3250</v>
      </c>
      <c r="G1398" s="210">
        <v>2</v>
      </c>
      <c r="H1398" s="197">
        <v>400</v>
      </c>
      <c r="I1398" s="206"/>
      <c r="J1398" s="282">
        <v>6900</v>
      </c>
      <c r="K1398" s="295" t="s">
        <v>2093</v>
      </c>
      <c r="L1398" s="284">
        <v>6500</v>
      </c>
    </row>
    <row r="1399" spans="1:12">
      <c r="A1399" s="213" t="s">
        <v>39</v>
      </c>
      <c r="B1399" s="199">
        <v>46236</v>
      </c>
      <c r="C1399" s="14" t="s">
        <v>2306</v>
      </c>
      <c r="D1399" s="205" t="s">
        <v>2282</v>
      </c>
      <c r="E1399" s="202">
        <v>8000</v>
      </c>
      <c r="F1399" s="195">
        <f t="shared" ref="F1399" si="403">SUM(E1399*0.5)</f>
        <v>4000</v>
      </c>
      <c r="G1399" s="203">
        <v>1</v>
      </c>
      <c r="H1399" s="197">
        <f t="shared" ref="H1399" si="404">SUM(G1399*200)</f>
        <v>200</v>
      </c>
      <c r="I1399" s="202"/>
      <c r="J1399" s="282">
        <v>8200</v>
      </c>
      <c r="K1399" s="288" t="s">
        <v>42</v>
      </c>
      <c r="L1399" s="284">
        <v>8000</v>
      </c>
    </row>
    <row r="1400" spans="1:12">
      <c r="A1400" s="213" t="s">
        <v>43</v>
      </c>
      <c r="B1400" s="199">
        <v>46216</v>
      </c>
      <c r="C1400" s="204" t="s">
        <v>2291</v>
      </c>
      <c r="D1400" s="14" t="s">
        <v>2283</v>
      </c>
      <c r="E1400" s="202">
        <v>8500</v>
      </c>
      <c r="F1400" s="195">
        <v>4250</v>
      </c>
      <c r="G1400" s="203">
        <v>2</v>
      </c>
      <c r="H1400" s="197">
        <v>400</v>
      </c>
      <c r="I1400" s="206"/>
      <c r="J1400" s="282">
        <v>8900</v>
      </c>
      <c r="K1400" s="288" t="s">
        <v>1599</v>
      </c>
      <c r="L1400" s="284">
        <v>8500</v>
      </c>
    </row>
    <row r="1401" spans="1:12">
      <c r="A1401" s="213" t="s">
        <v>47</v>
      </c>
      <c r="B1401" s="199">
        <v>46233</v>
      </c>
      <c r="C1401" s="204" t="s">
        <v>2299</v>
      </c>
      <c r="D1401" s="14" t="s">
        <v>2300</v>
      </c>
      <c r="E1401" s="202">
        <v>8500</v>
      </c>
      <c r="F1401" s="195">
        <v>4250</v>
      </c>
      <c r="G1401" s="203">
        <v>0</v>
      </c>
      <c r="H1401" s="197">
        <v>0</v>
      </c>
      <c r="I1401" s="202"/>
      <c r="J1401" s="282">
        <v>8500</v>
      </c>
      <c r="K1401" s="288" t="s">
        <v>2301</v>
      </c>
      <c r="L1401" s="291">
        <v>8500</v>
      </c>
    </row>
    <row r="1402" spans="1:12">
      <c r="A1402" s="213" t="s">
        <v>51</v>
      </c>
      <c r="B1402" s="199">
        <v>46234</v>
      </c>
      <c r="C1402" s="204" t="s">
        <v>2304</v>
      </c>
      <c r="D1402" s="205" t="s">
        <v>2279</v>
      </c>
      <c r="E1402" s="212">
        <v>8500</v>
      </c>
      <c r="F1402" s="195">
        <f t="shared" ref="F1402:F1412" si="405">SUM(E1402*0.5)</f>
        <v>4250</v>
      </c>
      <c r="G1402" s="210">
        <v>2</v>
      </c>
      <c r="H1402" s="197">
        <f t="shared" ref="H1402:H1406" si="406">SUM(G1402*200)</f>
        <v>400</v>
      </c>
      <c r="I1402" s="212"/>
      <c r="J1402" s="282">
        <v>8920</v>
      </c>
      <c r="K1402" s="295" t="s">
        <v>577</v>
      </c>
      <c r="L1402" s="284">
        <v>8500</v>
      </c>
    </row>
    <row r="1403" spans="1:12">
      <c r="A1403" s="213" t="s">
        <v>55</v>
      </c>
      <c r="B1403" s="199">
        <v>46238</v>
      </c>
      <c r="C1403" s="204" t="s">
        <v>2312</v>
      </c>
      <c r="D1403" s="205" t="s">
        <v>2277</v>
      </c>
      <c r="E1403" s="202">
        <v>8000</v>
      </c>
      <c r="F1403" s="195">
        <f t="shared" si="405"/>
        <v>4000</v>
      </c>
      <c r="G1403" s="203">
        <v>0</v>
      </c>
      <c r="H1403" s="197">
        <f t="shared" si="406"/>
        <v>0</v>
      </c>
      <c r="I1403" s="206"/>
      <c r="J1403" s="282">
        <v>8000</v>
      </c>
      <c r="K1403" s="288" t="s">
        <v>2174</v>
      </c>
      <c r="L1403" s="284">
        <v>8000</v>
      </c>
    </row>
    <row r="1404" spans="1:12">
      <c r="A1404" s="213" t="s">
        <v>58</v>
      </c>
      <c r="B1404" s="199">
        <v>46228</v>
      </c>
      <c r="C1404" s="355" t="s">
        <v>2295</v>
      </c>
      <c r="D1404" s="205" t="s">
        <v>2279</v>
      </c>
      <c r="E1404" s="202">
        <v>6500</v>
      </c>
      <c r="F1404" s="195">
        <f t="shared" si="405"/>
        <v>3250</v>
      </c>
      <c r="G1404" s="203">
        <v>0</v>
      </c>
      <c r="H1404" s="197">
        <f t="shared" si="406"/>
        <v>0</v>
      </c>
      <c r="I1404" s="206"/>
      <c r="J1404" s="254">
        <v>6500</v>
      </c>
      <c r="K1404" s="296" t="s">
        <v>2170</v>
      </c>
      <c r="L1404" s="284">
        <v>6500</v>
      </c>
    </row>
    <row r="1405" spans="1:12">
      <c r="A1405" s="213" t="s">
        <v>60</v>
      </c>
      <c r="B1405" s="199">
        <v>46235</v>
      </c>
      <c r="C1405" s="14" t="s">
        <v>2305</v>
      </c>
      <c r="D1405" s="205" t="s">
        <v>2284</v>
      </c>
      <c r="E1405" s="202">
        <v>6500</v>
      </c>
      <c r="F1405" s="195">
        <f t="shared" si="405"/>
        <v>3250</v>
      </c>
      <c r="G1405" s="203">
        <v>1</v>
      </c>
      <c r="H1405" s="197">
        <f t="shared" si="406"/>
        <v>200</v>
      </c>
      <c r="I1405" s="206"/>
      <c r="J1405" s="254">
        <v>6700</v>
      </c>
      <c r="K1405" s="295" t="s">
        <v>1725</v>
      </c>
      <c r="L1405" s="284">
        <v>6500</v>
      </c>
    </row>
    <row r="1406" spans="1:12">
      <c r="A1406" s="214" t="s">
        <v>63</v>
      </c>
      <c r="B1406" s="199">
        <v>46239</v>
      </c>
      <c r="C1406" s="204" t="s">
        <v>2315</v>
      </c>
      <c r="D1406" s="205" t="s">
        <v>2285</v>
      </c>
      <c r="E1406" s="206">
        <v>9000</v>
      </c>
      <c r="F1406" s="195">
        <f t="shared" si="405"/>
        <v>4500</v>
      </c>
      <c r="G1406" s="203">
        <v>2</v>
      </c>
      <c r="H1406" s="197">
        <f t="shared" si="406"/>
        <v>400</v>
      </c>
      <c r="I1406" s="206"/>
      <c r="J1406" s="282">
        <v>9400</v>
      </c>
      <c r="K1406" s="288" t="s">
        <v>584</v>
      </c>
      <c r="L1406" s="291">
        <v>9000</v>
      </c>
    </row>
    <row r="1407" spans="1:12">
      <c r="A1407" s="214" t="s">
        <v>67</v>
      </c>
      <c r="B1407" s="199">
        <v>46236</v>
      </c>
      <c r="C1407" s="14" t="s">
        <v>2307</v>
      </c>
      <c r="D1407" s="205" t="s">
        <v>2280</v>
      </c>
      <c r="E1407" s="206">
        <v>8500</v>
      </c>
      <c r="F1407" s="195">
        <f t="shared" si="405"/>
        <v>4250</v>
      </c>
      <c r="G1407" s="203">
        <v>0</v>
      </c>
      <c r="H1407" s="197">
        <v>0</v>
      </c>
      <c r="I1407" s="206"/>
      <c r="J1407" s="282">
        <v>8500</v>
      </c>
      <c r="K1407" s="288" t="s">
        <v>2176</v>
      </c>
      <c r="L1407" s="284">
        <v>8500</v>
      </c>
    </row>
    <row r="1408" spans="1:12">
      <c r="A1408" s="214" t="s">
        <v>71</v>
      </c>
      <c r="B1408" s="199">
        <v>46237</v>
      </c>
      <c r="C1408" s="204" t="s">
        <v>2311</v>
      </c>
      <c r="D1408" s="205" t="s">
        <v>2284</v>
      </c>
      <c r="E1408" s="206">
        <v>8500</v>
      </c>
      <c r="F1408" s="195">
        <f t="shared" si="405"/>
        <v>4250</v>
      </c>
      <c r="G1408" s="203">
        <v>2</v>
      </c>
      <c r="H1408" s="197">
        <f t="shared" ref="H1408:H1412" si="407">SUM(G1408*200)</f>
        <v>400</v>
      </c>
      <c r="I1408" s="206"/>
      <c r="J1408" s="282">
        <v>8900</v>
      </c>
      <c r="K1408" s="288" t="s">
        <v>383</v>
      </c>
      <c r="L1408" s="291">
        <v>8500</v>
      </c>
    </row>
    <row r="1409" spans="1:12">
      <c r="A1409" s="214" t="s">
        <v>74</v>
      </c>
      <c r="B1409" s="199">
        <v>46237</v>
      </c>
      <c r="C1409" s="14" t="s">
        <v>2308</v>
      </c>
      <c r="D1409" s="205" t="s">
        <v>2279</v>
      </c>
      <c r="E1409" s="206">
        <v>8500</v>
      </c>
      <c r="F1409" s="195">
        <f t="shared" si="405"/>
        <v>4250</v>
      </c>
      <c r="G1409" s="203">
        <v>1</v>
      </c>
      <c r="H1409" s="197">
        <f t="shared" si="407"/>
        <v>200</v>
      </c>
      <c r="I1409" s="206"/>
      <c r="J1409" s="282">
        <v>8700</v>
      </c>
      <c r="K1409" s="288" t="s">
        <v>2032</v>
      </c>
      <c r="L1409" s="291">
        <v>8500</v>
      </c>
    </row>
    <row r="1410" spans="1:12">
      <c r="A1410" s="214" t="s">
        <v>77</v>
      </c>
      <c r="B1410" s="199">
        <v>46233</v>
      </c>
      <c r="C1410" s="208" t="s">
        <v>2302</v>
      </c>
      <c r="D1410" s="205" t="s">
        <v>2282</v>
      </c>
      <c r="E1410" s="206">
        <v>8000</v>
      </c>
      <c r="F1410" s="195">
        <f t="shared" si="405"/>
        <v>4000</v>
      </c>
      <c r="G1410" s="203">
        <v>2</v>
      </c>
      <c r="H1410" s="197">
        <f t="shared" si="407"/>
        <v>400</v>
      </c>
      <c r="I1410" s="206"/>
      <c r="J1410" s="282">
        <v>8400</v>
      </c>
      <c r="K1410" s="288" t="s">
        <v>340</v>
      </c>
      <c r="L1410" s="291">
        <v>8000</v>
      </c>
    </row>
    <row r="1411" spans="1:12">
      <c r="A1411" s="214" t="s">
        <v>81</v>
      </c>
      <c r="B1411" s="199">
        <v>46230</v>
      </c>
      <c r="C1411" s="208" t="s">
        <v>2296</v>
      </c>
      <c r="D1411" s="177" t="s">
        <v>2286</v>
      </c>
      <c r="E1411" s="209">
        <v>6500</v>
      </c>
      <c r="F1411" s="195">
        <f t="shared" si="405"/>
        <v>3250</v>
      </c>
      <c r="G1411" s="210">
        <v>1</v>
      </c>
      <c r="H1411" s="197">
        <f t="shared" si="407"/>
        <v>200</v>
      </c>
      <c r="I1411" s="206"/>
      <c r="J1411" s="282">
        <v>6700</v>
      </c>
      <c r="K1411" s="295" t="s">
        <v>1904</v>
      </c>
      <c r="L1411" s="291">
        <v>6500</v>
      </c>
    </row>
    <row r="1412" spans="1:12">
      <c r="A1412" s="215" t="s">
        <v>84</v>
      </c>
      <c r="B1412" s="216">
        <v>46228</v>
      </c>
      <c r="C1412" s="208" t="s">
        <v>2293</v>
      </c>
      <c r="D1412" s="177" t="s">
        <v>2286</v>
      </c>
      <c r="E1412" s="209">
        <v>7000</v>
      </c>
      <c r="F1412" s="195">
        <f t="shared" si="405"/>
        <v>3500</v>
      </c>
      <c r="G1412" s="210">
        <v>0</v>
      </c>
      <c r="H1412" s="197">
        <f t="shared" si="407"/>
        <v>0</v>
      </c>
      <c r="I1412" s="209"/>
      <c r="J1412" s="254">
        <v>7000</v>
      </c>
      <c r="K1412" s="295" t="s">
        <v>2294</v>
      </c>
      <c r="L1412" s="287">
        <v>7000</v>
      </c>
    </row>
    <row r="1413" spans="1:12" ht="15.75" thickBot="1">
      <c r="A1413" s="221"/>
      <c r="B1413" s="222"/>
      <c r="C1413" s="223"/>
      <c r="D1413" s="224"/>
      <c r="E1413" s="225">
        <f>SUM(E1391:E1412)</f>
        <v>167750</v>
      </c>
      <c r="F1413" s="226">
        <f>SUM(F1391:F1412)</f>
        <v>83875</v>
      </c>
      <c r="G1413" s="225">
        <f t="shared" ref="G1413:J1413" si="408">SUM(G1391:G1412)</f>
        <v>27</v>
      </c>
      <c r="H1413" s="227">
        <f t="shared" si="408"/>
        <v>5400</v>
      </c>
      <c r="I1413" s="225">
        <f t="shared" si="408"/>
        <v>0</v>
      </c>
      <c r="J1413" s="227">
        <f t="shared" si="408"/>
        <v>173170</v>
      </c>
      <c r="K1413" s="306"/>
      <c r="L1413" s="307">
        <f>SUM(L1391:L1412)</f>
        <v>165500</v>
      </c>
    </row>
    <row r="1414" spans="1:12">
      <c r="A1414" s="228" t="s">
        <v>88</v>
      </c>
      <c r="B1414" s="229"/>
      <c r="C1414" s="230"/>
      <c r="D1414" s="205"/>
      <c r="E1414" s="195"/>
      <c r="F1414" s="195"/>
      <c r="G1414" s="231"/>
      <c r="H1414" s="195"/>
      <c r="I1414" s="195"/>
      <c r="J1414" s="230"/>
      <c r="K1414" s="309"/>
      <c r="L1414" s="291"/>
    </row>
    <row r="1415" spans="1:12">
      <c r="A1415" s="176" t="s">
        <v>89</v>
      </c>
      <c r="B1415" s="199">
        <v>46216</v>
      </c>
      <c r="C1415" s="204" t="s">
        <v>90</v>
      </c>
      <c r="D1415" s="205" t="s">
        <v>1289</v>
      </c>
      <c r="E1415" s="206">
        <v>10000</v>
      </c>
      <c r="F1415" s="195"/>
      <c r="G1415" s="232">
        <v>2</v>
      </c>
      <c r="H1415" s="197">
        <f t="shared" ref="H1415:H1417" si="409">SUM(G1415*200)</f>
        <v>400</v>
      </c>
      <c r="I1415" s="206"/>
      <c r="J1415" s="282">
        <v>10400</v>
      </c>
      <c r="K1415" s="288" t="s">
        <v>92</v>
      </c>
      <c r="L1415" s="291">
        <v>10000</v>
      </c>
    </row>
    <row r="1416" spans="1:12">
      <c r="A1416" s="176" t="s">
        <v>93</v>
      </c>
      <c r="B1416" s="199">
        <v>46234</v>
      </c>
      <c r="C1416" s="207" t="s">
        <v>94</v>
      </c>
      <c r="D1416" s="177" t="s">
        <v>2287</v>
      </c>
      <c r="E1416" s="212">
        <v>10000</v>
      </c>
      <c r="F1416" s="233"/>
      <c r="G1416" s="210">
        <v>2</v>
      </c>
      <c r="H1416" s="197">
        <f t="shared" si="409"/>
        <v>400</v>
      </c>
      <c r="I1416" s="202"/>
      <c r="J1416" s="282">
        <v>10400</v>
      </c>
      <c r="K1416" s="310" t="s">
        <v>96</v>
      </c>
      <c r="L1416" s="284">
        <v>6000</v>
      </c>
    </row>
    <row r="1417" spans="1:12">
      <c r="A1417" s="176" t="s">
        <v>97</v>
      </c>
      <c r="B1417" s="199">
        <v>46217</v>
      </c>
      <c r="C1417" s="204" t="s">
        <v>98</v>
      </c>
      <c r="D1417" s="205" t="s">
        <v>2288</v>
      </c>
      <c r="E1417" s="234">
        <v>12000</v>
      </c>
      <c r="F1417" s="235"/>
      <c r="G1417" s="232">
        <v>2</v>
      </c>
      <c r="H1417" s="197">
        <f t="shared" si="409"/>
        <v>400</v>
      </c>
      <c r="I1417" s="206"/>
      <c r="J1417" s="282">
        <v>12400</v>
      </c>
      <c r="K1417" s="288" t="s">
        <v>99</v>
      </c>
      <c r="L1417" s="291">
        <v>12000</v>
      </c>
    </row>
    <row r="1418" spans="1:12">
      <c r="A1418" s="176" t="s">
        <v>100</v>
      </c>
      <c r="B1418" s="199">
        <v>46223</v>
      </c>
      <c r="C1418" s="236" t="s">
        <v>2036</v>
      </c>
      <c r="D1418" s="205" t="s">
        <v>2289</v>
      </c>
      <c r="E1418" s="212">
        <v>12000</v>
      </c>
      <c r="F1418" s="195"/>
      <c r="G1418" s="210">
        <v>2</v>
      </c>
      <c r="H1418" s="197">
        <v>400</v>
      </c>
      <c r="I1418" s="212"/>
      <c r="J1418" s="282">
        <v>12400</v>
      </c>
      <c r="K1418" s="295" t="s">
        <v>2038</v>
      </c>
      <c r="L1418" s="284">
        <v>12000</v>
      </c>
    </row>
    <row r="1419" spans="1:12">
      <c r="A1419" s="176" t="s">
        <v>104</v>
      </c>
      <c r="B1419" s="339">
        <v>46242</v>
      </c>
      <c r="C1419" s="237" t="s">
        <v>1575</v>
      </c>
      <c r="D1419" s="205" t="s">
        <v>2284</v>
      </c>
      <c r="E1419" s="206">
        <v>12000</v>
      </c>
      <c r="F1419" s="195"/>
      <c r="G1419" s="238">
        <v>2</v>
      </c>
      <c r="H1419" s="197">
        <f t="shared" ref="H1419" si="410">SUM(G1419*200)</f>
        <v>400</v>
      </c>
      <c r="I1419" s="219"/>
      <c r="J1419" s="282">
        <v>12400</v>
      </c>
      <c r="K1419" s="311" t="s">
        <v>107</v>
      </c>
      <c r="L1419" s="291">
        <v>12000</v>
      </c>
    </row>
    <row r="1420" spans="1:12" ht="15.75" thickBot="1">
      <c r="A1420" s="239"/>
      <c r="B1420" s="240"/>
      <c r="C1420" s="241" t="s">
        <v>108</v>
      </c>
      <c r="D1420" s="242"/>
      <c r="E1420" s="243">
        <f>SUM(E1415:E1418)</f>
        <v>44000</v>
      </c>
      <c r="F1420" s="226"/>
      <c r="G1420" s="226">
        <f>SUM(G1415:G1418)</f>
        <v>8</v>
      </c>
      <c r="H1420" s="226">
        <f>SUM(H1415:H1418)</f>
        <v>1600</v>
      </c>
      <c r="I1420" s="243">
        <f>SUM(I1415:I1418)</f>
        <v>0</v>
      </c>
      <c r="J1420" s="226">
        <f>SUM(J1415:J1418)</f>
        <v>45600</v>
      </c>
      <c r="K1420" s="306"/>
      <c r="L1420" s="312">
        <f>SUM(L1415:L1419)</f>
        <v>52000</v>
      </c>
    </row>
    <row r="1421" spans="1:12">
      <c r="A1421" s="228" t="s">
        <v>109</v>
      </c>
      <c r="B1421" s="244"/>
      <c r="C1421" s="245"/>
      <c r="D1421" s="205"/>
      <c r="E1421" s="195"/>
      <c r="F1421" s="195"/>
      <c r="G1421" s="231"/>
      <c r="H1421" s="195"/>
      <c r="I1421" s="195"/>
      <c r="J1421" s="195"/>
      <c r="K1421" s="309"/>
      <c r="L1421" s="313"/>
    </row>
    <row r="1422" spans="1:12" ht="15.75" thickBot="1">
      <c r="A1422" s="246" t="s">
        <v>110</v>
      </c>
      <c r="B1422" s="247"/>
      <c r="C1422" s="248" t="s">
        <v>111</v>
      </c>
      <c r="D1422" s="242"/>
      <c r="E1422" s="243"/>
      <c r="F1422" s="226"/>
      <c r="G1422" s="249"/>
      <c r="H1422" s="226"/>
      <c r="I1422" s="243"/>
      <c r="J1422" s="226"/>
      <c r="K1422" s="306"/>
      <c r="L1422" s="312"/>
    </row>
    <row r="1423" spans="1:12">
      <c r="A1423" s="228" t="s">
        <v>112</v>
      </c>
      <c r="B1423" s="250"/>
      <c r="C1423" s="245"/>
      <c r="D1423" s="205"/>
      <c r="E1423" s="195"/>
      <c r="F1423" s="195"/>
      <c r="G1423" s="231"/>
      <c r="H1423" s="195"/>
      <c r="I1423" s="195"/>
      <c r="J1423" s="195"/>
      <c r="K1423" s="309"/>
      <c r="L1423" s="313"/>
    </row>
    <row r="1424" spans="1:12">
      <c r="A1424" s="176" t="s">
        <v>113</v>
      </c>
      <c r="B1424" s="199"/>
      <c r="C1424" s="251" t="s">
        <v>114</v>
      </c>
      <c r="D1424" s="177" t="s">
        <v>2282</v>
      </c>
      <c r="E1424" s="206">
        <v>12600</v>
      </c>
      <c r="F1424" s="230"/>
      <c r="G1424" s="209">
        <v>2</v>
      </c>
      <c r="H1424" s="197">
        <f t="shared" ref="H1424:H1426" si="411">SUM(G1424*200)</f>
        <v>400</v>
      </c>
      <c r="I1424" s="314"/>
      <c r="J1424" s="282">
        <v>12400</v>
      </c>
      <c r="K1424" s="295" t="s">
        <v>115</v>
      </c>
      <c r="L1424" s="291">
        <v>12000</v>
      </c>
    </row>
    <row r="1425" spans="1:12">
      <c r="A1425" s="176" t="s">
        <v>116</v>
      </c>
      <c r="B1425" s="199">
        <v>46234</v>
      </c>
      <c r="C1425" s="252" t="s">
        <v>2316</v>
      </c>
      <c r="D1425" s="205" t="s">
        <v>2317</v>
      </c>
      <c r="E1425" s="206">
        <v>8000</v>
      </c>
      <c r="F1425" s="195"/>
      <c r="G1425" s="209">
        <v>0</v>
      </c>
      <c r="H1425" s="197">
        <v>0</v>
      </c>
      <c r="I1425" s="314"/>
      <c r="J1425" s="282">
        <v>8000</v>
      </c>
      <c r="K1425" s="288" t="s">
        <v>2318</v>
      </c>
      <c r="L1425" s="291">
        <v>8000</v>
      </c>
    </row>
    <row r="1426" spans="1:12">
      <c r="A1426" s="176" t="s">
        <v>120</v>
      </c>
      <c r="B1426" s="199">
        <v>46232</v>
      </c>
      <c r="C1426" s="253" t="s">
        <v>121</v>
      </c>
      <c r="D1426" s="177" t="s">
        <v>2279</v>
      </c>
      <c r="E1426" s="209">
        <v>10000</v>
      </c>
      <c r="F1426" s="254"/>
      <c r="G1426" s="209">
        <v>2</v>
      </c>
      <c r="H1426" s="197">
        <f t="shared" si="411"/>
        <v>400</v>
      </c>
      <c r="I1426" s="315"/>
      <c r="J1426" s="254">
        <v>10400</v>
      </c>
      <c r="K1426" s="316" t="s">
        <v>122</v>
      </c>
      <c r="L1426" s="291">
        <v>10000</v>
      </c>
    </row>
    <row r="1427" spans="1:12" ht="15.75" thickBot="1">
      <c r="A1427" s="246"/>
      <c r="B1427" s="247"/>
      <c r="C1427" s="255"/>
      <c r="D1427" s="242"/>
      <c r="E1427" s="256">
        <f>SUM(E1424:E1426)</f>
        <v>30600</v>
      </c>
      <c r="F1427" s="257"/>
      <c r="G1427" s="256">
        <f>SUM(G1424:G1426)</f>
        <v>4</v>
      </c>
      <c r="H1427" s="257">
        <f>SUM(H1424:H1426)</f>
        <v>800</v>
      </c>
      <c r="I1427" s="257">
        <f>SUM(I1424:I1426)</f>
        <v>0</v>
      </c>
      <c r="J1427" s="257">
        <f>SUM(J1424:J1426)</f>
        <v>30800</v>
      </c>
      <c r="K1427" s="317"/>
      <c r="L1427" s="312">
        <f>SUM(L1424:L1426)</f>
        <v>30000</v>
      </c>
    </row>
    <row r="1428" spans="1:12">
      <c r="B1428" s="244"/>
      <c r="C1428" s="80"/>
      <c r="D1428" s="258"/>
      <c r="E1428" s="259">
        <f>SUM(E1413,E1420,E1422,E1427)</f>
        <v>242350</v>
      </c>
      <c r="F1428" s="260"/>
      <c r="G1428" s="259">
        <f>SUM(G1413,G1420,G1422,G1427)</f>
        <v>39</v>
      </c>
      <c r="H1428" s="259">
        <f>SUM(H1413,H1420,H1422,H1427)</f>
        <v>7800</v>
      </c>
      <c r="I1428" s="318">
        <f>SUM(I1413,I1420,I1422,I1427)</f>
        <v>0</v>
      </c>
      <c r="J1428" s="259">
        <f>SUM(J1413,J1420,J1422,J1427)</f>
        <v>249570</v>
      </c>
      <c r="K1428" s="319"/>
      <c r="L1428" s="291"/>
    </row>
    <row r="1429" spans="1:12">
      <c r="A1429" s="228" t="s">
        <v>123</v>
      </c>
      <c r="B1429" s="261"/>
      <c r="C1429" s="262" t="s">
        <v>108</v>
      </c>
      <c r="D1429" s="15"/>
      <c r="E1429" s="195"/>
      <c r="F1429" s="263" t="s">
        <v>124</v>
      </c>
      <c r="G1429" s="264"/>
      <c r="H1429" s="195"/>
      <c r="I1429" s="195"/>
      <c r="J1429" s="230"/>
      <c r="K1429" s="309"/>
      <c r="L1429" s="284"/>
    </row>
    <row r="1430" spans="1:12">
      <c r="A1430" s="176" t="s">
        <v>125</v>
      </c>
      <c r="B1430" s="199">
        <v>46228</v>
      </c>
      <c r="C1430" s="265" t="s">
        <v>126</v>
      </c>
      <c r="D1430" s="205" t="s">
        <v>2290</v>
      </c>
      <c r="E1430" s="202">
        <v>5000</v>
      </c>
      <c r="F1430" s="266">
        <v>325</v>
      </c>
      <c r="G1430" s="203">
        <v>2</v>
      </c>
      <c r="H1430" s="266">
        <f t="shared" ref="H1430:H1431" si="412">SUM(G1430*200)</f>
        <v>400</v>
      </c>
      <c r="I1430" s="202"/>
      <c r="J1430" s="282">
        <v>5400</v>
      </c>
      <c r="K1430" s="319" t="s">
        <v>128</v>
      </c>
      <c r="L1430" s="284">
        <v>5000</v>
      </c>
    </row>
    <row r="1431" spans="1:12">
      <c r="A1431" s="176" t="s">
        <v>129</v>
      </c>
      <c r="B1431" s="199">
        <v>46239</v>
      </c>
      <c r="C1431" s="265" t="s">
        <v>130</v>
      </c>
      <c r="D1431" s="205" t="s">
        <v>2286</v>
      </c>
      <c r="E1431" s="206">
        <v>5500</v>
      </c>
      <c r="F1431" s="195"/>
      <c r="G1431" s="203">
        <v>1</v>
      </c>
      <c r="H1431" s="266">
        <f t="shared" si="412"/>
        <v>200</v>
      </c>
      <c r="I1431" s="206"/>
      <c r="J1431" s="282">
        <f>SUM(E1431,H1431:I1431)</f>
        <v>5700</v>
      </c>
      <c r="K1431" s="319" t="s">
        <v>132</v>
      </c>
      <c r="L1431" s="291">
        <v>5500</v>
      </c>
    </row>
    <row r="1432" spans="1:12" ht="15.75" thickBot="1">
      <c r="A1432" s="267" t="s">
        <v>133</v>
      </c>
      <c r="B1432" s="268"/>
      <c r="C1432" s="269"/>
      <c r="D1432" s="242"/>
      <c r="E1432" s="270">
        <f>SUM(E1430:E1431)</f>
        <v>10500</v>
      </c>
      <c r="F1432" s="226">
        <f t="shared" ref="F1432:I1432" si="413">SUM(F1430:F1431)</f>
        <v>325</v>
      </c>
      <c r="G1432" s="243">
        <f t="shared" si="413"/>
        <v>3</v>
      </c>
      <c r="H1432" s="226">
        <f t="shared" si="413"/>
        <v>600</v>
      </c>
      <c r="I1432" s="320">
        <f t="shared" si="413"/>
        <v>0</v>
      </c>
      <c r="J1432" s="321">
        <f>SUM(F1432,H1432,I1432,)</f>
        <v>925</v>
      </c>
      <c r="K1432" s="322"/>
      <c r="L1432" s="322"/>
    </row>
    <row r="1433" spans="1:12">
      <c r="E1433" s="271" t="s">
        <v>134</v>
      </c>
      <c r="F1433" s="272">
        <f>SUM(F1428,F1432)</f>
        <v>325</v>
      </c>
      <c r="H1433" s="272">
        <f>SUM(H1428,H1432)</f>
        <v>8400</v>
      </c>
      <c r="I1433" s="324">
        <f>SUM(I1428,I1432)</f>
        <v>0</v>
      </c>
      <c r="J1433" s="325" t="s">
        <v>135</v>
      </c>
    </row>
    <row r="1434" spans="1:12">
      <c r="D1434" s="326">
        <f>SUM(E934,E978,E1023,E1068,E1113,E1158,E1203,E1248,E1293,E1338,E1383,E1428)</f>
        <v>293100</v>
      </c>
      <c r="E1434" s="326">
        <f>SUM(E919,E963,E1008,E1059,E1098,E1143,E1188,E1233,E1278,E1323,E1368,E1413)</f>
        <v>477700</v>
      </c>
    </row>
    <row r="1435" spans="1:12">
      <c r="A1435" s="340" t="s">
        <v>1806</v>
      </c>
    </row>
    <row r="1436" spans="1:12" ht="18.75" thickBot="1">
      <c r="A1436" s="185" t="s">
        <v>8</v>
      </c>
      <c r="B1436" s="348" t="s">
        <v>2319</v>
      </c>
      <c r="C1436" s="187"/>
    </row>
    <row r="1437" spans="1:12">
      <c r="A1437" s="190" t="s">
        <v>10</v>
      </c>
      <c r="B1437" s="191"/>
      <c r="C1437" s="7" t="s">
        <v>2354</v>
      </c>
      <c r="D1437" s="193" t="s">
        <v>2320</v>
      </c>
      <c r="E1437" s="194">
        <v>8000</v>
      </c>
      <c r="F1437" s="195">
        <f>SUM(E1437*0.5)</f>
        <v>4000</v>
      </c>
      <c r="G1437" s="196">
        <v>1</v>
      </c>
      <c r="H1437" s="197">
        <f t="shared" ref="H1437:H1440" si="414">SUM(G1437*200)</f>
        <v>200</v>
      </c>
      <c r="I1437" s="194"/>
      <c r="J1437" s="279">
        <v>8200</v>
      </c>
      <c r="K1437" s="280" t="s">
        <v>13</v>
      </c>
      <c r="L1437" s="281">
        <v>8000</v>
      </c>
    </row>
    <row r="1438" spans="1:12">
      <c r="A1438" s="198" t="s">
        <v>14</v>
      </c>
      <c r="B1438" s="199"/>
      <c r="C1438" s="201" t="s">
        <v>2353</v>
      </c>
      <c r="D1438" s="201" t="s">
        <v>2321</v>
      </c>
      <c r="E1438" s="202">
        <v>8500</v>
      </c>
      <c r="F1438" s="195">
        <f>SUM(E1438*0.5)</f>
        <v>4250</v>
      </c>
      <c r="G1438" s="203">
        <v>3</v>
      </c>
      <c r="H1438" s="197">
        <f t="shared" si="414"/>
        <v>600</v>
      </c>
      <c r="I1438" s="206"/>
      <c r="J1438" s="282">
        <v>9100</v>
      </c>
      <c r="K1438" s="283" t="s">
        <v>314</v>
      </c>
      <c r="L1438" s="284">
        <v>8500</v>
      </c>
    </row>
    <row r="1439" spans="1:12">
      <c r="A1439" s="190" t="s">
        <v>18</v>
      </c>
      <c r="B1439" s="199"/>
      <c r="C1439" s="14" t="s">
        <v>2352</v>
      </c>
      <c r="D1439" s="205" t="s">
        <v>2322</v>
      </c>
      <c r="E1439" s="202">
        <v>8000</v>
      </c>
      <c r="F1439" s="195">
        <f t="shared" ref="F1439:F1440" si="415">SUM(E1439*0.5)</f>
        <v>4000</v>
      </c>
      <c r="G1439" s="203">
        <v>1</v>
      </c>
      <c r="H1439" s="197">
        <f t="shared" si="414"/>
        <v>200</v>
      </c>
      <c r="I1439" s="206"/>
      <c r="J1439" s="282">
        <f>SUM(E1439,H1439:I1439)</f>
        <v>8200</v>
      </c>
      <c r="K1439" s="288" t="s">
        <v>21</v>
      </c>
      <c r="L1439" s="284">
        <v>8000</v>
      </c>
    </row>
    <row r="1440" spans="1:12" ht="25.5">
      <c r="A1440" s="190" t="s">
        <v>22</v>
      </c>
      <c r="B1440" s="199">
        <v>46246</v>
      </c>
      <c r="C1440" s="26" t="s">
        <v>2338</v>
      </c>
      <c r="D1440" s="205" t="s">
        <v>2323</v>
      </c>
      <c r="E1440" s="206">
        <v>7250</v>
      </c>
      <c r="F1440" s="195">
        <f t="shared" si="415"/>
        <v>3625</v>
      </c>
      <c r="G1440" s="203">
        <v>1</v>
      </c>
      <c r="H1440" s="197">
        <f t="shared" si="414"/>
        <v>200</v>
      </c>
      <c r="I1440" s="206"/>
      <c r="J1440" s="282">
        <v>7450</v>
      </c>
      <c r="K1440" s="290" t="s">
        <v>25</v>
      </c>
      <c r="L1440" s="291">
        <v>5000</v>
      </c>
    </row>
    <row r="1441" spans="1:12">
      <c r="A1441" s="190" t="s">
        <v>26</v>
      </c>
      <c r="B1441" s="199">
        <v>46228</v>
      </c>
      <c r="C1441" s="208" t="s">
        <v>2298</v>
      </c>
      <c r="D1441" s="205" t="s">
        <v>2324</v>
      </c>
      <c r="E1441" s="209">
        <v>6000</v>
      </c>
      <c r="F1441" s="195">
        <v>3000</v>
      </c>
      <c r="G1441" s="210">
        <v>1</v>
      </c>
      <c r="H1441" s="197">
        <v>200</v>
      </c>
      <c r="I1441" s="209"/>
      <c r="J1441" s="254">
        <v>6200</v>
      </c>
      <c r="K1441" s="288" t="s">
        <v>2031</v>
      </c>
      <c r="L1441" s="291">
        <v>6000</v>
      </c>
    </row>
    <row r="1442" spans="1:12">
      <c r="A1442" s="190" t="s">
        <v>30</v>
      </c>
      <c r="B1442" s="199"/>
      <c r="C1442" s="363" t="s">
        <v>2310</v>
      </c>
      <c r="D1442" s="205" t="s">
        <v>2325</v>
      </c>
      <c r="E1442" s="209">
        <v>6500</v>
      </c>
      <c r="F1442" s="195">
        <v>3250</v>
      </c>
      <c r="G1442" s="210">
        <v>3</v>
      </c>
      <c r="H1442" s="197">
        <v>600</v>
      </c>
      <c r="I1442" s="209"/>
      <c r="J1442" s="254">
        <v>7100</v>
      </c>
      <c r="K1442" s="294" t="s">
        <v>1344</v>
      </c>
      <c r="L1442" s="287">
        <v>6500</v>
      </c>
    </row>
    <row r="1443" spans="1:12">
      <c r="A1443" s="190" t="s">
        <v>33</v>
      </c>
      <c r="B1443" s="199"/>
      <c r="C1443" s="14" t="s">
        <v>2309</v>
      </c>
      <c r="D1443" s="205" t="s">
        <v>2322</v>
      </c>
      <c r="E1443" s="202">
        <v>6500</v>
      </c>
      <c r="F1443" s="195">
        <f t="shared" ref="F1443" si="416">SUM(E1443*0.5)</f>
        <v>3250</v>
      </c>
      <c r="G1443" s="210">
        <v>1</v>
      </c>
      <c r="H1443" s="197">
        <f t="shared" ref="H1443" si="417">SUM(G1443*200)</f>
        <v>200</v>
      </c>
      <c r="I1443" s="202"/>
      <c r="J1443" s="197">
        <v>6700</v>
      </c>
      <c r="K1443" s="288" t="s">
        <v>2035</v>
      </c>
      <c r="L1443" s="284">
        <v>6500</v>
      </c>
    </row>
    <row r="1444" spans="1:12">
      <c r="A1444" s="190" t="s">
        <v>35</v>
      </c>
      <c r="B1444" s="397" t="s">
        <v>2342</v>
      </c>
      <c r="C1444" s="211" t="s">
        <v>2343</v>
      </c>
      <c r="D1444" s="177" t="s">
        <v>2326</v>
      </c>
      <c r="E1444" s="212">
        <v>6500</v>
      </c>
      <c r="F1444" s="195">
        <v>3250</v>
      </c>
      <c r="G1444" s="210">
        <v>2</v>
      </c>
      <c r="H1444" s="197">
        <v>400</v>
      </c>
      <c r="I1444" s="206"/>
      <c r="J1444" s="282">
        <v>6900</v>
      </c>
      <c r="K1444" s="295" t="s">
        <v>2093</v>
      </c>
      <c r="L1444" s="284">
        <v>6500</v>
      </c>
    </row>
    <row r="1445" spans="1:12">
      <c r="A1445" s="213" t="s">
        <v>39</v>
      </c>
      <c r="B1445" s="199"/>
      <c r="C1445" s="14" t="s">
        <v>2351</v>
      </c>
      <c r="D1445" s="205" t="s">
        <v>2327</v>
      </c>
      <c r="E1445" s="202">
        <v>8000</v>
      </c>
      <c r="F1445" s="195">
        <f t="shared" ref="F1445" si="418">SUM(E1445*0.5)</f>
        <v>4000</v>
      </c>
      <c r="G1445" s="203">
        <v>1</v>
      </c>
      <c r="H1445" s="197">
        <f t="shared" ref="H1445" si="419">SUM(G1445*200)</f>
        <v>200</v>
      </c>
      <c r="I1445" s="202"/>
      <c r="J1445" s="282">
        <v>8200</v>
      </c>
      <c r="K1445" s="288" t="s">
        <v>42</v>
      </c>
      <c r="L1445" s="284">
        <v>8000</v>
      </c>
    </row>
    <row r="1446" spans="1:12">
      <c r="A1446" s="213" t="s">
        <v>43</v>
      </c>
      <c r="B1446" s="199">
        <v>46254</v>
      </c>
      <c r="C1446" s="204" t="s">
        <v>2340</v>
      </c>
      <c r="D1446" s="14" t="s">
        <v>2328</v>
      </c>
      <c r="E1446" s="202">
        <v>8500</v>
      </c>
      <c r="F1446" s="195">
        <v>4250</v>
      </c>
      <c r="G1446" s="203">
        <v>2</v>
      </c>
      <c r="H1446" s="197">
        <v>400</v>
      </c>
      <c r="I1446" s="206"/>
      <c r="J1446" s="282">
        <v>8900</v>
      </c>
      <c r="K1446" s="288" t="s">
        <v>1599</v>
      </c>
      <c r="L1446" s="284">
        <v>8500</v>
      </c>
    </row>
    <row r="1447" spans="1:12">
      <c r="A1447" s="213" t="s">
        <v>47</v>
      </c>
      <c r="B1447" s="199"/>
      <c r="C1447" s="204" t="s">
        <v>2345</v>
      </c>
      <c r="D1447" s="14" t="s">
        <v>2329</v>
      </c>
      <c r="E1447" s="202">
        <v>8500</v>
      </c>
      <c r="F1447" s="195">
        <v>4250</v>
      </c>
      <c r="G1447" s="203">
        <v>0</v>
      </c>
      <c r="H1447" s="197">
        <v>0</v>
      </c>
      <c r="I1447" s="202"/>
      <c r="J1447" s="282">
        <v>8500</v>
      </c>
      <c r="K1447" s="288" t="s">
        <v>2301</v>
      </c>
      <c r="L1447" s="291">
        <v>8500</v>
      </c>
    </row>
    <row r="1448" spans="1:12">
      <c r="A1448" s="213" t="s">
        <v>51</v>
      </c>
      <c r="B1448" s="199"/>
      <c r="C1448" s="204" t="s">
        <v>2346</v>
      </c>
      <c r="D1448" s="205" t="s">
        <v>2324</v>
      </c>
      <c r="E1448" s="212">
        <v>8500</v>
      </c>
      <c r="F1448" s="195">
        <f t="shared" ref="F1448:F1458" si="420">SUM(E1448*0.5)</f>
        <v>4250</v>
      </c>
      <c r="G1448" s="210">
        <v>2</v>
      </c>
      <c r="H1448" s="197">
        <f t="shared" ref="H1448:H1452" si="421">SUM(G1448*200)</f>
        <v>400</v>
      </c>
      <c r="I1448" s="212"/>
      <c r="J1448" s="282">
        <v>8920</v>
      </c>
      <c r="K1448" s="295" t="s">
        <v>577</v>
      </c>
      <c r="L1448" s="284">
        <v>8500</v>
      </c>
    </row>
    <row r="1449" spans="1:12">
      <c r="A1449" s="213" t="s">
        <v>55</v>
      </c>
      <c r="B1449" s="199">
        <v>46267</v>
      </c>
      <c r="C1449" s="204" t="s">
        <v>2381</v>
      </c>
      <c r="D1449" s="205" t="s">
        <v>2322</v>
      </c>
      <c r="E1449" s="202">
        <v>8000</v>
      </c>
      <c r="F1449" s="195">
        <f t="shared" si="420"/>
        <v>4000</v>
      </c>
      <c r="G1449" s="203">
        <v>0</v>
      </c>
      <c r="H1449" s="197">
        <f t="shared" si="421"/>
        <v>0</v>
      </c>
      <c r="I1449" s="206"/>
      <c r="J1449" s="282">
        <v>8000</v>
      </c>
      <c r="K1449" s="288" t="s">
        <v>2174</v>
      </c>
      <c r="L1449" s="284">
        <v>8000</v>
      </c>
    </row>
    <row r="1450" spans="1:12">
      <c r="A1450" s="213" t="s">
        <v>58</v>
      </c>
      <c r="B1450" s="199">
        <v>46252</v>
      </c>
      <c r="C1450" s="355" t="s">
        <v>2339</v>
      </c>
      <c r="D1450" s="205" t="s">
        <v>2324</v>
      </c>
      <c r="E1450" s="202">
        <v>6500</v>
      </c>
      <c r="F1450" s="195">
        <f t="shared" si="420"/>
        <v>3250</v>
      </c>
      <c r="G1450" s="203">
        <v>0</v>
      </c>
      <c r="H1450" s="197">
        <f t="shared" si="421"/>
        <v>0</v>
      </c>
      <c r="I1450" s="206"/>
      <c r="J1450" s="254">
        <v>6500</v>
      </c>
      <c r="K1450" s="296" t="s">
        <v>2170</v>
      </c>
      <c r="L1450" s="284">
        <v>6500</v>
      </c>
    </row>
    <row r="1451" spans="1:12">
      <c r="A1451" s="213" t="s">
        <v>60</v>
      </c>
      <c r="B1451" s="199">
        <v>46266</v>
      </c>
      <c r="C1451" s="14" t="s">
        <v>2379</v>
      </c>
      <c r="D1451" s="205" t="s">
        <v>2330</v>
      </c>
      <c r="E1451" s="202">
        <v>6500</v>
      </c>
      <c r="F1451" s="195">
        <f t="shared" si="420"/>
        <v>3250</v>
      </c>
      <c r="G1451" s="203">
        <v>1</v>
      </c>
      <c r="H1451" s="197">
        <f t="shared" si="421"/>
        <v>200</v>
      </c>
      <c r="I1451" s="206"/>
      <c r="J1451" s="254">
        <v>6700</v>
      </c>
      <c r="K1451" s="295" t="s">
        <v>1725</v>
      </c>
      <c r="L1451" s="284">
        <v>6500</v>
      </c>
    </row>
    <row r="1452" spans="1:12">
      <c r="A1452" s="214" t="s">
        <v>63</v>
      </c>
      <c r="B1452" s="199"/>
      <c r="C1452" s="204" t="s">
        <v>2347</v>
      </c>
      <c r="D1452" s="205" t="s">
        <v>2331</v>
      </c>
      <c r="E1452" s="206">
        <v>9000</v>
      </c>
      <c r="F1452" s="195">
        <f t="shared" si="420"/>
        <v>4500</v>
      </c>
      <c r="G1452" s="203">
        <v>2</v>
      </c>
      <c r="H1452" s="197">
        <f t="shared" si="421"/>
        <v>400</v>
      </c>
      <c r="I1452" s="206"/>
      <c r="J1452" s="282">
        <v>9400</v>
      </c>
      <c r="K1452" s="288" t="s">
        <v>584</v>
      </c>
      <c r="L1452" s="291">
        <v>9000</v>
      </c>
    </row>
    <row r="1453" spans="1:12">
      <c r="A1453" s="214" t="s">
        <v>67</v>
      </c>
      <c r="B1453" s="199"/>
      <c r="C1453" s="14" t="s">
        <v>2348</v>
      </c>
      <c r="D1453" s="205" t="s">
        <v>2325</v>
      </c>
      <c r="E1453" s="206">
        <v>8500</v>
      </c>
      <c r="F1453" s="195">
        <f t="shared" si="420"/>
        <v>4250</v>
      </c>
      <c r="G1453" s="203">
        <v>0</v>
      </c>
      <c r="H1453" s="197">
        <v>0</v>
      </c>
      <c r="I1453" s="206"/>
      <c r="J1453" s="282">
        <v>8500</v>
      </c>
      <c r="K1453" s="288" t="s">
        <v>2176</v>
      </c>
      <c r="L1453" s="284">
        <v>8500</v>
      </c>
    </row>
    <row r="1454" spans="1:12">
      <c r="A1454" s="214" t="s">
        <v>71</v>
      </c>
      <c r="B1454" s="199"/>
      <c r="C1454" s="204" t="s">
        <v>2349</v>
      </c>
      <c r="D1454" s="205" t="s">
        <v>2330</v>
      </c>
      <c r="E1454" s="206">
        <v>8500</v>
      </c>
      <c r="F1454" s="195">
        <f t="shared" si="420"/>
        <v>4250</v>
      </c>
      <c r="G1454" s="203">
        <v>2</v>
      </c>
      <c r="H1454" s="197">
        <f t="shared" ref="H1454:H1458" si="422">SUM(G1454*200)</f>
        <v>400</v>
      </c>
      <c r="I1454" s="206"/>
      <c r="J1454" s="282">
        <v>8900</v>
      </c>
      <c r="K1454" s="288" t="s">
        <v>383</v>
      </c>
      <c r="L1454" s="291">
        <v>8500</v>
      </c>
    </row>
    <row r="1455" spans="1:12">
      <c r="A1455" s="214" t="s">
        <v>74</v>
      </c>
      <c r="B1455" s="199">
        <v>46267</v>
      </c>
      <c r="C1455" s="14" t="s">
        <v>2380</v>
      </c>
      <c r="D1455" s="205" t="s">
        <v>2324</v>
      </c>
      <c r="E1455" s="206">
        <v>8500</v>
      </c>
      <c r="F1455" s="195">
        <f t="shared" si="420"/>
        <v>4250</v>
      </c>
      <c r="G1455" s="203">
        <v>1</v>
      </c>
      <c r="H1455" s="197">
        <f t="shared" si="422"/>
        <v>200</v>
      </c>
      <c r="I1455" s="206"/>
      <c r="J1455" s="282">
        <v>8700</v>
      </c>
      <c r="K1455" s="288" t="s">
        <v>2032</v>
      </c>
      <c r="L1455" s="291">
        <v>8500</v>
      </c>
    </row>
    <row r="1456" spans="1:12">
      <c r="A1456" s="214" t="s">
        <v>77</v>
      </c>
      <c r="B1456" s="199"/>
      <c r="C1456" s="208" t="s">
        <v>2350</v>
      </c>
      <c r="D1456" s="205" t="s">
        <v>2327</v>
      </c>
      <c r="E1456" s="206">
        <v>8000</v>
      </c>
      <c r="F1456" s="195">
        <f t="shared" si="420"/>
        <v>4000</v>
      </c>
      <c r="G1456" s="203">
        <v>2</v>
      </c>
      <c r="H1456" s="197">
        <f t="shared" si="422"/>
        <v>400</v>
      </c>
      <c r="I1456" s="206"/>
      <c r="J1456" s="282">
        <v>8400</v>
      </c>
      <c r="K1456" s="288" t="s">
        <v>340</v>
      </c>
      <c r="L1456" s="291">
        <v>8000</v>
      </c>
    </row>
    <row r="1457" spans="1:12">
      <c r="A1457" s="214" t="s">
        <v>81</v>
      </c>
      <c r="B1457" s="199">
        <v>46263</v>
      </c>
      <c r="C1457" s="208" t="s">
        <v>2344</v>
      </c>
      <c r="D1457" s="177" t="s">
        <v>2332</v>
      </c>
      <c r="E1457" s="209">
        <v>6500</v>
      </c>
      <c r="F1457" s="195">
        <f t="shared" si="420"/>
        <v>3250</v>
      </c>
      <c r="G1457" s="210">
        <v>1</v>
      </c>
      <c r="H1457" s="197">
        <f t="shared" si="422"/>
        <v>200</v>
      </c>
      <c r="I1457" s="206"/>
      <c r="J1457" s="282">
        <v>6700</v>
      </c>
      <c r="K1457" s="295" t="s">
        <v>1904</v>
      </c>
      <c r="L1457" s="291">
        <v>6500</v>
      </c>
    </row>
    <row r="1458" spans="1:12">
      <c r="A1458" s="215" t="s">
        <v>84</v>
      </c>
      <c r="B1458" s="216">
        <v>46263</v>
      </c>
      <c r="C1458" s="208" t="s">
        <v>2341</v>
      </c>
      <c r="D1458" s="177" t="s">
        <v>2332</v>
      </c>
      <c r="E1458" s="209">
        <v>7000</v>
      </c>
      <c r="F1458" s="195">
        <f t="shared" si="420"/>
        <v>3500</v>
      </c>
      <c r="G1458" s="210">
        <v>0</v>
      </c>
      <c r="H1458" s="197">
        <f t="shared" si="422"/>
        <v>0</v>
      </c>
      <c r="I1458" s="209"/>
      <c r="J1458" s="254">
        <v>7000</v>
      </c>
      <c r="K1458" s="295" t="s">
        <v>2294</v>
      </c>
      <c r="L1458" s="287">
        <v>7000</v>
      </c>
    </row>
    <row r="1459" spans="1:12" ht="15.75" thickBot="1">
      <c r="A1459" s="221"/>
      <c r="B1459" s="222"/>
      <c r="C1459" s="223"/>
      <c r="D1459" s="224"/>
      <c r="E1459" s="225">
        <f>SUM(E1437:E1458)</f>
        <v>167750</v>
      </c>
      <c r="F1459" s="226">
        <f>SUM(F1437:F1458)</f>
        <v>83875</v>
      </c>
      <c r="G1459" s="225">
        <f t="shared" ref="G1459:J1459" si="423">SUM(G1437:G1458)</f>
        <v>27</v>
      </c>
      <c r="H1459" s="227">
        <f t="shared" si="423"/>
        <v>5400</v>
      </c>
      <c r="I1459" s="225">
        <f t="shared" si="423"/>
        <v>0</v>
      </c>
      <c r="J1459" s="227">
        <f t="shared" si="423"/>
        <v>173170</v>
      </c>
      <c r="K1459" s="306"/>
      <c r="L1459" s="307">
        <f>SUM(L1437:L1458)</f>
        <v>165500</v>
      </c>
    </row>
    <row r="1460" spans="1:12">
      <c r="A1460" s="228" t="s">
        <v>88</v>
      </c>
      <c r="B1460" s="229"/>
      <c r="C1460" s="230"/>
      <c r="D1460" s="205"/>
      <c r="E1460" s="195"/>
      <c r="F1460" s="195"/>
      <c r="G1460" s="231"/>
      <c r="H1460" s="195"/>
      <c r="I1460" s="195"/>
      <c r="J1460" s="230"/>
      <c r="K1460" s="309"/>
      <c r="L1460" s="291"/>
    </row>
    <row r="1461" spans="1:12">
      <c r="A1461" s="176" t="s">
        <v>89</v>
      </c>
      <c r="B1461" s="199">
        <v>46246</v>
      </c>
      <c r="C1461" s="204" t="s">
        <v>90</v>
      </c>
      <c r="D1461" s="205" t="s">
        <v>1331</v>
      </c>
      <c r="E1461" s="206">
        <v>10000</v>
      </c>
      <c r="F1461" s="195"/>
      <c r="G1461" s="232">
        <v>2</v>
      </c>
      <c r="H1461" s="197">
        <f t="shared" ref="H1461:H1463" si="424">SUM(G1461*200)</f>
        <v>400</v>
      </c>
      <c r="I1461" s="206"/>
      <c r="J1461" s="282">
        <v>10400</v>
      </c>
      <c r="K1461" s="288" t="s">
        <v>92</v>
      </c>
      <c r="L1461" s="291">
        <v>10000</v>
      </c>
    </row>
    <row r="1462" spans="1:12">
      <c r="A1462" s="176" t="s">
        <v>93</v>
      </c>
      <c r="B1462" s="199">
        <v>46262</v>
      </c>
      <c r="C1462" s="207" t="s">
        <v>94</v>
      </c>
      <c r="D1462" s="177" t="s">
        <v>2333</v>
      </c>
      <c r="E1462" s="212">
        <v>10000</v>
      </c>
      <c r="F1462" s="233"/>
      <c r="G1462" s="210">
        <v>2</v>
      </c>
      <c r="H1462" s="197">
        <f t="shared" si="424"/>
        <v>400</v>
      </c>
      <c r="I1462" s="202"/>
      <c r="J1462" s="282">
        <v>10400</v>
      </c>
      <c r="K1462" s="310" t="s">
        <v>96</v>
      </c>
      <c r="L1462" s="284">
        <v>6000</v>
      </c>
    </row>
    <row r="1463" spans="1:12">
      <c r="A1463" s="176" t="s">
        <v>97</v>
      </c>
      <c r="B1463" s="199">
        <v>46244</v>
      </c>
      <c r="C1463" s="204" t="s">
        <v>98</v>
      </c>
      <c r="D1463" s="205" t="s">
        <v>2334</v>
      </c>
      <c r="E1463" s="234">
        <v>12000</v>
      </c>
      <c r="F1463" s="235"/>
      <c r="G1463" s="232">
        <v>2</v>
      </c>
      <c r="H1463" s="197">
        <f t="shared" si="424"/>
        <v>400</v>
      </c>
      <c r="I1463" s="206"/>
      <c r="J1463" s="282">
        <v>12400</v>
      </c>
      <c r="K1463" s="288" t="s">
        <v>99</v>
      </c>
      <c r="L1463" s="291">
        <v>12000</v>
      </c>
    </row>
    <row r="1464" spans="1:12">
      <c r="A1464" s="176" t="s">
        <v>100</v>
      </c>
      <c r="B1464" s="199">
        <v>46256</v>
      </c>
      <c r="C1464" s="236" t="s">
        <v>2036</v>
      </c>
      <c r="D1464" s="205" t="s">
        <v>2335</v>
      </c>
      <c r="E1464" s="212">
        <v>12000</v>
      </c>
      <c r="F1464" s="195"/>
      <c r="G1464" s="210">
        <v>2</v>
      </c>
      <c r="H1464" s="197">
        <v>400</v>
      </c>
      <c r="I1464" s="212"/>
      <c r="J1464" s="282">
        <v>12400</v>
      </c>
      <c r="K1464" s="295" t="s">
        <v>2038</v>
      </c>
      <c r="L1464" s="284">
        <v>12000</v>
      </c>
    </row>
    <row r="1465" spans="1:12">
      <c r="A1465" s="176" t="s">
        <v>104</v>
      </c>
      <c r="B1465" s="339"/>
      <c r="C1465" s="237" t="s">
        <v>1575</v>
      </c>
      <c r="D1465" s="205" t="s">
        <v>2330</v>
      </c>
      <c r="E1465" s="206">
        <v>12000</v>
      </c>
      <c r="F1465" s="195"/>
      <c r="G1465" s="238">
        <v>2</v>
      </c>
      <c r="H1465" s="197">
        <f t="shared" ref="H1465" si="425">SUM(G1465*200)</f>
        <v>400</v>
      </c>
      <c r="I1465" s="219"/>
      <c r="J1465" s="282">
        <v>12400</v>
      </c>
      <c r="K1465" s="311" t="s">
        <v>107</v>
      </c>
      <c r="L1465" s="291">
        <v>12000</v>
      </c>
    </row>
    <row r="1466" spans="1:12" ht="15.75" thickBot="1">
      <c r="A1466" s="239"/>
      <c r="B1466" s="240"/>
      <c r="C1466" s="241" t="s">
        <v>108</v>
      </c>
      <c r="D1466" s="242"/>
      <c r="E1466" s="243">
        <f>SUM(E1461:E1464)</f>
        <v>44000</v>
      </c>
      <c r="F1466" s="226"/>
      <c r="G1466" s="226">
        <f>SUM(G1461:G1464)</f>
        <v>8</v>
      </c>
      <c r="H1466" s="226">
        <f>SUM(H1461:H1464)</f>
        <v>1600</v>
      </c>
      <c r="I1466" s="243">
        <f>SUM(I1461:I1464)</f>
        <v>0</v>
      </c>
      <c r="J1466" s="226">
        <f>SUM(J1461:J1464)</f>
        <v>45600</v>
      </c>
      <c r="K1466" s="306"/>
      <c r="L1466" s="312">
        <f>SUM(L1461:L1465)</f>
        <v>52000</v>
      </c>
    </row>
    <row r="1467" spans="1:12">
      <c r="A1467" s="228" t="s">
        <v>109</v>
      </c>
      <c r="B1467" s="244"/>
      <c r="C1467" s="245"/>
      <c r="D1467" s="205"/>
      <c r="E1467" s="195"/>
      <c r="F1467" s="195"/>
      <c r="G1467" s="231"/>
      <c r="H1467" s="195"/>
      <c r="I1467" s="195"/>
      <c r="J1467" s="195"/>
      <c r="K1467" s="309"/>
      <c r="L1467" s="313"/>
    </row>
    <row r="1468" spans="1:12" ht="15.75" thickBot="1">
      <c r="A1468" s="246" t="s">
        <v>110</v>
      </c>
      <c r="B1468" s="247"/>
      <c r="C1468" s="248" t="s">
        <v>111</v>
      </c>
      <c r="D1468" s="242"/>
      <c r="E1468" s="243"/>
      <c r="F1468" s="226"/>
      <c r="G1468" s="249"/>
      <c r="H1468" s="226"/>
      <c r="I1468" s="243"/>
      <c r="J1468" s="226"/>
      <c r="K1468" s="306"/>
      <c r="L1468" s="312"/>
    </row>
    <row r="1469" spans="1:12">
      <c r="A1469" s="228" t="s">
        <v>112</v>
      </c>
      <c r="B1469" s="250"/>
      <c r="C1469" s="245"/>
      <c r="D1469" s="205"/>
      <c r="E1469" s="195"/>
      <c r="F1469" s="195"/>
      <c r="G1469" s="231"/>
      <c r="H1469" s="195"/>
      <c r="I1469" s="195"/>
      <c r="J1469" s="195"/>
      <c r="K1469" s="309"/>
      <c r="L1469" s="313"/>
    </row>
    <row r="1470" spans="1:12">
      <c r="A1470" s="176" t="s">
        <v>113</v>
      </c>
      <c r="B1470" s="199"/>
      <c r="C1470" s="251" t="s">
        <v>114</v>
      </c>
      <c r="D1470" s="177" t="s">
        <v>2327</v>
      </c>
      <c r="E1470" s="206">
        <v>12600</v>
      </c>
      <c r="F1470" s="230"/>
      <c r="G1470" s="209">
        <v>2</v>
      </c>
      <c r="H1470" s="197">
        <f t="shared" ref="H1470" si="426">SUM(G1470*200)</f>
        <v>400</v>
      </c>
      <c r="I1470" s="314"/>
      <c r="J1470" s="282">
        <v>12400</v>
      </c>
      <c r="K1470" s="295" t="s">
        <v>115</v>
      </c>
      <c r="L1470" s="291">
        <v>12000</v>
      </c>
    </row>
    <row r="1471" spans="1:12">
      <c r="A1471" s="176" t="s">
        <v>116</v>
      </c>
      <c r="B1471" s="199"/>
      <c r="C1471" s="252" t="s">
        <v>2316</v>
      </c>
      <c r="D1471" s="205" t="s">
        <v>2336</v>
      </c>
      <c r="E1471" s="206">
        <v>8000</v>
      </c>
      <c r="F1471" s="195"/>
      <c r="G1471" s="209">
        <v>0</v>
      </c>
      <c r="H1471" s="197">
        <v>0</v>
      </c>
      <c r="I1471" s="314"/>
      <c r="J1471" s="282">
        <v>8000</v>
      </c>
      <c r="K1471" s="288" t="s">
        <v>2318</v>
      </c>
      <c r="L1471" s="291">
        <v>8000</v>
      </c>
    </row>
    <row r="1472" spans="1:12">
      <c r="A1472" s="176" t="s">
        <v>120</v>
      </c>
      <c r="B1472" s="199">
        <v>46259</v>
      </c>
      <c r="C1472" s="253" t="s">
        <v>121</v>
      </c>
      <c r="D1472" s="177" t="s">
        <v>2324</v>
      </c>
      <c r="E1472" s="209">
        <v>10000</v>
      </c>
      <c r="F1472" s="254"/>
      <c r="G1472" s="209">
        <v>2</v>
      </c>
      <c r="H1472" s="197">
        <f t="shared" ref="H1472" si="427">SUM(G1472*200)</f>
        <v>400</v>
      </c>
      <c r="I1472" s="315"/>
      <c r="J1472" s="254">
        <v>10400</v>
      </c>
      <c r="K1472" s="316" t="s">
        <v>122</v>
      </c>
      <c r="L1472" s="291">
        <v>10000</v>
      </c>
    </row>
    <row r="1473" spans="1:12" ht="15.75" thickBot="1">
      <c r="A1473" s="246"/>
      <c r="B1473" s="247"/>
      <c r="C1473" s="255"/>
      <c r="D1473" s="242"/>
      <c r="E1473" s="256">
        <f>SUM(E1470:E1472)</f>
        <v>30600</v>
      </c>
      <c r="F1473" s="257"/>
      <c r="G1473" s="256">
        <f>SUM(G1470:G1472)</f>
        <v>4</v>
      </c>
      <c r="H1473" s="257">
        <f>SUM(H1470:H1472)</f>
        <v>800</v>
      </c>
      <c r="I1473" s="257">
        <f>SUM(I1470:I1472)</f>
        <v>0</v>
      </c>
      <c r="J1473" s="257">
        <f>SUM(J1470:J1472)</f>
        <v>30800</v>
      </c>
      <c r="K1473" s="317"/>
      <c r="L1473" s="312">
        <f>SUM(L1470:L1472)</f>
        <v>30000</v>
      </c>
    </row>
    <row r="1474" spans="1:12">
      <c r="B1474" s="244"/>
      <c r="C1474" s="80"/>
      <c r="D1474" s="258"/>
      <c r="E1474" s="259">
        <f>SUM(E1459,E1466,E1468,E1473)</f>
        <v>242350</v>
      </c>
      <c r="F1474" s="260"/>
      <c r="G1474" s="259">
        <f>SUM(G1459,G1466,G1468,G1473)</f>
        <v>39</v>
      </c>
      <c r="H1474" s="259">
        <f>SUM(H1459,H1466,H1468,H1473)</f>
        <v>7800</v>
      </c>
      <c r="I1474" s="318">
        <f>SUM(I1459,I1466,I1468,I1473)</f>
        <v>0</v>
      </c>
      <c r="J1474" s="259">
        <f>SUM(J1459,J1466,J1468,J1473)</f>
        <v>249570</v>
      </c>
      <c r="K1474" s="319"/>
      <c r="L1474" s="291"/>
    </row>
    <row r="1475" spans="1:12">
      <c r="A1475" s="228" t="s">
        <v>123</v>
      </c>
      <c r="B1475" s="261"/>
      <c r="C1475" s="262" t="s">
        <v>108</v>
      </c>
      <c r="D1475" s="15"/>
      <c r="E1475" s="195"/>
      <c r="F1475" s="263" t="s">
        <v>124</v>
      </c>
      <c r="G1475" s="264"/>
      <c r="H1475" s="195"/>
      <c r="I1475" s="195"/>
      <c r="J1475" s="230"/>
      <c r="K1475" s="309"/>
      <c r="L1475" s="284"/>
    </row>
    <row r="1476" spans="1:12">
      <c r="A1476" s="176" t="s">
        <v>125</v>
      </c>
      <c r="B1476" s="199">
        <v>46262</v>
      </c>
      <c r="C1476" s="265" t="s">
        <v>126</v>
      </c>
      <c r="D1476" s="205" t="s">
        <v>2337</v>
      </c>
      <c r="E1476" s="202">
        <v>5000</v>
      </c>
      <c r="F1476" s="266">
        <v>325</v>
      </c>
      <c r="G1476" s="203">
        <v>2</v>
      </c>
      <c r="H1476" s="266">
        <f t="shared" ref="H1476:H1477" si="428">SUM(G1476*200)</f>
        <v>400</v>
      </c>
      <c r="I1476" s="202"/>
      <c r="J1476" s="282">
        <v>5400</v>
      </c>
      <c r="K1476" s="319" t="s">
        <v>128</v>
      </c>
      <c r="L1476" s="284">
        <v>5000</v>
      </c>
    </row>
    <row r="1477" spans="1:12">
      <c r="A1477" s="176" t="s">
        <v>129</v>
      </c>
      <c r="B1477" s="199"/>
      <c r="C1477" s="265" t="s">
        <v>130</v>
      </c>
      <c r="D1477" s="205" t="s">
        <v>2332</v>
      </c>
      <c r="E1477" s="206">
        <v>5500</v>
      </c>
      <c r="F1477" s="195"/>
      <c r="G1477" s="203">
        <v>1</v>
      </c>
      <c r="H1477" s="266">
        <f t="shared" si="428"/>
        <v>200</v>
      </c>
      <c r="I1477" s="206"/>
      <c r="J1477" s="282">
        <f>SUM(E1477,H1477:I1477)</f>
        <v>5700</v>
      </c>
      <c r="K1477" s="319" t="s">
        <v>132</v>
      </c>
      <c r="L1477" s="291">
        <v>5500</v>
      </c>
    </row>
    <row r="1478" spans="1:12" ht="15.75" thickBot="1">
      <c r="A1478" s="267" t="s">
        <v>133</v>
      </c>
      <c r="B1478" s="268"/>
      <c r="C1478" s="269"/>
      <c r="D1478" s="242"/>
      <c r="E1478" s="270">
        <f>SUM(E1476:E1477)</f>
        <v>10500</v>
      </c>
      <c r="F1478" s="226">
        <f t="shared" ref="F1478:I1478" si="429">SUM(F1476:F1477)</f>
        <v>325</v>
      </c>
      <c r="G1478" s="243">
        <f t="shared" si="429"/>
        <v>3</v>
      </c>
      <c r="H1478" s="226">
        <f t="shared" si="429"/>
        <v>600</v>
      </c>
      <c r="I1478" s="320">
        <f t="shared" si="429"/>
        <v>0</v>
      </c>
      <c r="J1478" s="321">
        <f>SUM(F1478,H1478,I1478,)</f>
        <v>925</v>
      </c>
      <c r="K1478" s="322"/>
      <c r="L1478" s="322"/>
    </row>
    <row r="1479" spans="1:12">
      <c r="E1479" s="271" t="s">
        <v>134</v>
      </c>
      <c r="F1479" s="272">
        <f>SUM(F1474,F1478)</f>
        <v>325</v>
      </c>
      <c r="H1479" s="272">
        <f>SUM(H1474,H1478)</f>
        <v>8400</v>
      </c>
      <c r="I1479" s="324">
        <f>SUM(I1474,I1478)</f>
        <v>0</v>
      </c>
      <c r="J1479" s="325" t="s">
        <v>135</v>
      </c>
    </row>
    <row r="1480" spans="1:12">
      <c r="D1480" s="326">
        <f>SUM(E980,E1024,E1069,E1114,E1159,E1204,E1249,E1294,E1339,E1384,E1429,E1474)</f>
        <v>739050</v>
      </c>
      <c r="E1480" s="326">
        <f>SUM(E965,E1009,E1054,E1105,E1144,E1189,E1234,E1279,E1324,E1369,E1414,E1459)</f>
        <v>219250</v>
      </c>
    </row>
    <row r="1482" spans="1:12">
      <c r="A1482" s="340"/>
    </row>
    <row r="1483" spans="1:12" ht="18">
      <c r="A1483" s="185"/>
      <c r="B1483" s="348"/>
      <c r="C1483" s="187"/>
    </row>
  </sheetData>
  <sortState xmlns:xlrd2="http://schemas.microsoft.com/office/spreadsheetml/2017/richdata2" ref="T3:U24">
    <sortCondition ref="T3:T24"/>
  </sortState>
  <printOptions headings="1" gridLines="1"/>
  <pageMargins left="0.43307086614173201" right="3.9370078740157501E-2" top="0.74803149606299202" bottom="0.15748031496063" header="0.31496062992126" footer="0.118110236220472"/>
  <pageSetup paperSize="14" scale="74" orientation="portrait" draft="1" r:id="rId1"/>
  <headerFooter>
    <oddHeader>&amp;RBoarding House Income for 2018 to 2020</oddHeader>
    <oddFooter>&amp;CPage &amp;P of &amp;N</oddFooter>
  </headerFooter>
  <rowBreaks count="11" manualBreakCount="11">
    <brk id="45" max="16383" man="1"/>
    <brk id="90" max="16383" man="1"/>
    <brk id="135" max="16383" man="1"/>
    <brk id="180" max="16383" man="1"/>
    <brk id="225" max="16383" man="1"/>
    <brk id="270" max="16383" man="1"/>
    <brk id="315" max="16383" man="1"/>
    <brk id="360" max="16383" man="1"/>
    <brk id="405" max="16383" man="1"/>
    <brk id="450" max="16383" man="1"/>
    <brk id="495" max="16383" man="1"/>
  </rowBreaks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45"/>
  <sheetViews>
    <sheetView zoomScale="129" zoomScaleNormal="145" workbookViewId="0">
      <pane ySplit="1" topLeftCell="A1369" activePane="bottomLeft" state="frozen"/>
      <selection pane="bottomLeft" activeCell="E1266" sqref="E1266"/>
    </sheetView>
  </sheetViews>
  <sheetFormatPr defaultColWidth="9" defaultRowHeight="15"/>
  <cols>
    <col min="1" max="1" width="14.28515625" customWidth="1"/>
    <col min="2" max="2" width="27.7109375" customWidth="1"/>
    <col min="3" max="7" width="9.42578125" customWidth="1"/>
    <col min="8" max="8" width="18.85546875" customWidth="1"/>
    <col min="9" max="9" width="9.42578125" customWidth="1"/>
    <col min="10" max="10" width="30.28515625" customWidth="1"/>
    <col min="11" max="11" width="9.42578125" customWidth="1"/>
    <col min="12" max="12" width="11.5703125" bestFit="1" customWidth="1"/>
    <col min="16" max="17" width="9.140625" customWidth="1"/>
  </cols>
  <sheetData>
    <row r="1" spans="1:11" ht="38.25">
      <c r="A1" s="1"/>
      <c r="B1" s="2" t="s">
        <v>600</v>
      </c>
      <c r="C1" s="3" t="s">
        <v>601</v>
      </c>
      <c r="D1" s="4" t="s">
        <v>602</v>
      </c>
      <c r="E1" s="5" t="s">
        <v>603</v>
      </c>
      <c r="F1" s="6" t="s">
        <v>604</v>
      </c>
      <c r="G1" s="6" t="s">
        <v>605</v>
      </c>
      <c r="H1" s="4" t="s">
        <v>606</v>
      </c>
      <c r="I1" s="47" t="s">
        <v>607</v>
      </c>
      <c r="J1" s="48" t="s">
        <v>608</v>
      </c>
      <c r="K1" s="49"/>
    </row>
    <row r="2" spans="1:11" ht="15.75">
      <c r="A2" s="330" t="s">
        <v>609</v>
      </c>
      <c r="B2" s="7"/>
      <c r="C2" s="8"/>
      <c r="D2" s="9"/>
      <c r="E2" s="10"/>
      <c r="F2" s="11"/>
      <c r="G2" s="11"/>
      <c r="H2" s="12"/>
      <c r="I2" s="50"/>
      <c r="J2" s="48"/>
      <c r="K2" s="49"/>
    </row>
    <row r="3" spans="1:11">
      <c r="A3" s="13" t="s">
        <v>610</v>
      </c>
      <c r="B3" s="14"/>
      <c r="C3" s="15"/>
      <c r="D3" s="16"/>
      <c r="E3" s="17"/>
      <c r="F3" s="18"/>
      <c r="G3" s="18"/>
      <c r="H3" s="16"/>
      <c r="I3" s="51"/>
      <c r="J3" s="48"/>
      <c r="K3" s="49"/>
    </row>
    <row r="4" spans="1:11">
      <c r="A4" s="19">
        <v>45293</v>
      </c>
      <c r="B4" s="14" t="s">
        <v>611</v>
      </c>
      <c r="C4" s="18">
        <v>714</v>
      </c>
      <c r="D4" s="18"/>
      <c r="E4" s="17"/>
      <c r="F4" s="20"/>
      <c r="G4" s="18"/>
      <c r="H4" s="16">
        <v>7</v>
      </c>
      <c r="I4" s="51"/>
      <c r="J4" s="52" t="s">
        <v>610</v>
      </c>
      <c r="K4" s="49"/>
    </row>
    <row r="5" spans="1:11">
      <c r="A5" s="19"/>
      <c r="B5" s="14" t="s">
        <v>612</v>
      </c>
      <c r="C5" s="18">
        <v>300</v>
      </c>
      <c r="D5" s="18"/>
      <c r="E5" s="17"/>
      <c r="F5" s="20"/>
      <c r="G5" s="18"/>
      <c r="H5" s="16">
        <v>5</v>
      </c>
      <c r="I5" s="51"/>
      <c r="J5" s="53" t="s">
        <v>613</v>
      </c>
      <c r="K5" s="54"/>
    </row>
    <row r="6" spans="1:11">
      <c r="A6" s="19"/>
      <c r="B6" s="14" t="s">
        <v>614</v>
      </c>
      <c r="C6" s="18">
        <v>500</v>
      </c>
      <c r="D6" s="18"/>
      <c r="E6" s="17"/>
      <c r="F6" s="20"/>
      <c r="G6" s="18"/>
      <c r="H6" s="16">
        <v>2</v>
      </c>
      <c r="I6" s="51"/>
      <c r="J6" s="55" t="s">
        <v>615</v>
      </c>
      <c r="K6" s="54"/>
    </row>
    <row r="7" spans="1:11">
      <c r="A7" s="19">
        <v>45295</v>
      </c>
      <c r="B7" s="14" t="s">
        <v>616</v>
      </c>
      <c r="C7" s="18">
        <v>596.57000000000005</v>
      </c>
      <c r="D7" s="18"/>
      <c r="E7" s="17"/>
      <c r="F7" s="20"/>
      <c r="G7" s="18"/>
      <c r="H7" s="16">
        <v>8</v>
      </c>
      <c r="I7" s="51"/>
      <c r="J7" s="56" t="s">
        <v>617</v>
      </c>
      <c r="K7" s="54"/>
    </row>
    <row r="8" spans="1:11">
      <c r="A8" s="19"/>
      <c r="B8" s="14" t="s">
        <v>618</v>
      </c>
      <c r="C8" s="17"/>
      <c r="D8" s="18">
        <v>246.1</v>
      </c>
      <c r="E8" s="17"/>
      <c r="F8" s="20"/>
      <c r="G8" s="18"/>
      <c r="H8" s="16">
        <v>10</v>
      </c>
      <c r="I8" s="51"/>
      <c r="J8" s="57" t="s">
        <v>619</v>
      </c>
      <c r="K8" s="54"/>
    </row>
    <row r="9" spans="1:11">
      <c r="A9" s="19"/>
      <c r="B9" s="14" t="s">
        <v>620</v>
      </c>
      <c r="C9" s="18"/>
      <c r="D9" s="18"/>
      <c r="E9" s="17"/>
      <c r="F9" s="18">
        <v>265</v>
      </c>
      <c r="G9" s="18"/>
      <c r="H9" s="16">
        <v>8</v>
      </c>
      <c r="I9" s="51"/>
      <c r="J9" s="58" t="s">
        <v>621</v>
      </c>
      <c r="K9" s="54"/>
    </row>
    <row r="10" spans="1:11">
      <c r="A10" s="19"/>
      <c r="B10" s="14" t="s">
        <v>622</v>
      </c>
      <c r="C10" s="18">
        <v>35</v>
      </c>
      <c r="D10" s="18"/>
      <c r="E10" s="17"/>
      <c r="F10" s="20"/>
      <c r="G10" s="18"/>
      <c r="H10" s="16">
        <v>5</v>
      </c>
      <c r="I10" s="51"/>
      <c r="J10" s="54" t="s">
        <v>623</v>
      </c>
      <c r="K10" s="54"/>
    </row>
    <row r="11" spans="1:11">
      <c r="A11" s="19"/>
      <c r="B11" s="14" t="s">
        <v>624</v>
      </c>
      <c r="C11" s="18">
        <v>14069.36</v>
      </c>
      <c r="D11" s="18"/>
      <c r="E11" s="17"/>
      <c r="F11" s="20"/>
      <c r="G11" s="18"/>
      <c r="H11" s="16">
        <v>2</v>
      </c>
      <c r="I11" s="51"/>
      <c r="J11" s="54" t="s">
        <v>625</v>
      </c>
      <c r="K11" s="54"/>
    </row>
    <row r="12" spans="1:11">
      <c r="A12" s="19">
        <v>45296</v>
      </c>
      <c r="B12" s="14" t="s">
        <v>626</v>
      </c>
      <c r="C12" s="18"/>
      <c r="D12" s="18"/>
      <c r="E12" s="17"/>
      <c r="F12" s="18">
        <v>235</v>
      </c>
      <c r="G12" s="18"/>
      <c r="H12" s="16">
        <v>8</v>
      </c>
      <c r="I12" s="51"/>
      <c r="J12" s="54" t="s">
        <v>627</v>
      </c>
      <c r="K12" s="54"/>
    </row>
    <row r="13" spans="1:11">
      <c r="A13" s="19"/>
      <c r="B13" s="14" t="s">
        <v>628</v>
      </c>
      <c r="C13" s="18"/>
      <c r="D13" s="17"/>
      <c r="E13" s="18"/>
      <c r="F13" s="21"/>
      <c r="G13" s="18">
        <v>2000</v>
      </c>
      <c r="H13" s="16">
        <v>10</v>
      </c>
      <c r="I13" s="59"/>
      <c r="J13" s="54" t="s">
        <v>629</v>
      </c>
      <c r="K13" s="54"/>
    </row>
    <row r="14" spans="1:11">
      <c r="A14" s="19">
        <v>45297</v>
      </c>
      <c r="B14" s="14" t="s">
        <v>630</v>
      </c>
      <c r="C14" s="18"/>
      <c r="D14" s="18"/>
      <c r="E14" s="17"/>
      <c r="F14" s="18">
        <v>1800</v>
      </c>
      <c r="G14" s="18"/>
      <c r="H14" s="16">
        <v>8</v>
      </c>
      <c r="I14" s="59"/>
      <c r="J14" s="54" t="s">
        <v>631</v>
      </c>
      <c r="K14" s="54"/>
    </row>
    <row r="15" spans="1:11">
      <c r="A15" s="19">
        <v>45299</v>
      </c>
      <c r="B15" s="14" t="s">
        <v>632</v>
      </c>
      <c r="C15" s="18">
        <v>15000</v>
      </c>
      <c r="D15" s="22"/>
      <c r="E15" s="18"/>
      <c r="F15" s="18"/>
      <c r="G15" s="23"/>
      <c r="H15" s="24" t="s">
        <v>633</v>
      </c>
      <c r="I15" s="59"/>
      <c r="J15" s="54" t="s">
        <v>634</v>
      </c>
      <c r="K15" s="54"/>
    </row>
    <row r="16" spans="1:11">
      <c r="A16" s="19">
        <v>45300</v>
      </c>
      <c r="B16" s="14" t="s">
        <v>635</v>
      </c>
      <c r="C16" s="18"/>
      <c r="D16" s="22">
        <v>1499</v>
      </c>
      <c r="E16" s="18"/>
      <c r="F16" s="18"/>
      <c r="G16" s="23"/>
      <c r="H16" s="24">
        <v>10</v>
      </c>
      <c r="I16" s="59"/>
      <c r="J16" s="54" t="s">
        <v>636</v>
      </c>
      <c r="K16" s="54"/>
    </row>
    <row r="17" spans="1:11">
      <c r="A17" s="19"/>
      <c r="B17" s="14" t="s">
        <v>637</v>
      </c>
      <c r="C17" s="23">
        <v>564</v>
      </c>
      <c r="D17" s="22"/>
      <c r="E17" s="18"/>
      <c r="F17" s="18"/>
      <c r="G17" s="25"/>
      <c r="H17" s="24">
        <v>8</v>
      </c>
      <c r="I17" s="59"/>
      <c r="J17" s="54" t="s">
        <v>638</v>
      </c>
      <c r="K17" s="54"/>
    </row>
    <row r="18" spans="1:11">
      <c r="A18" s="19"/>
      <c r="B18" s="14" t="s">
        <v>639</v>
      </c>
      <c r="C18" s="23">
        <v>250</v>
      </c>
      <c r="D18" s="22"/>
      <c r="E18" s="18"/>
      <c r="F18" s="18"/>
      <c r="G18" s="25"/>
      <c r="H18" s="24">
        <v>8</v>
      </c>
      <c r="I18" s="51"/>
      <c r="J18" s="57"/>
    </row>
    <row r="19" spans="1:11">
      <c r="A19" s="19">
        <v>45301</v>
      </c>
      <c r="B19" s="14" t="s">
        <v>640</v>
      </c>
      <c r="C19" s="23">
        <v>1915</v>
      </c>
      <c r="D19" s="22"/>
      <c r="E19" s="18"/>
      <c r="F19" s="18"/>
      <c r="G19" s="25"/>
      <c r="H19" s="24">
        <v>8</v>
      </c>
      <c r="I19" s="51"/>
      <c r="J19" s="60"/>
      <c r="K19" s="54"/>
    </row>
    <row r="20" spans="1:11">
      <c r="A20" s="19"/>
      <c r="B20" s="26" t="s">
        <v>640</v>
      </c>
      <c r="C20" s="23">
        <v>310</v>
      </c>
      <c r="D20" s="22"/>
      <c r="E20" s="18"/>
      <c r="F20" s="18"/>
      <c r="G20" s="25"/>
      <c r="H20" s="24">
        <v>8</v>
      </c>
      <c r="I20" s="51"/>
      <c r="J20" s="60"/>
      <c r="K20" s="54"/>
    </row>
    <row r="21" spans="1:11">
      <c r="A21" s="19"/>
      <c r="B21" s="26" t="s">
        <v>641</v>
      </c>
      <c r="C21" s="23">
        <v>2000</v>
      </c>
      <c r="D21" s="22"/>
      <c r="E21" s="17"/>
      <c r="F21" s="18"/>
      <c r="G21" s="27"/>
      <c r="H21" s="24">
        <v>7</v>
      </c>
      <c r="I21" s="51"/>
      <c r="J21" s="54"/>
      <c r="K21" s="54"/>
    </row>
    <row r="22" spans="1:11">
      <c r="A22" s="19">
        <v>45303</v>
      </c>
      <c r="B22" s="26" t="s">
        <v>642</v>
      </c>
      <c r="C22" s="23">
        <v>800</v>
      </c>
      <c r="D22" s="22"/>
      <c r="E22" s="17"/>
      <c r="F22" s="18"/>
      <c r="G22" s="27"/>
      <c r="H22" s="24">
        <v>8</v>
      </c>
      <c r="I22" s="51"/>
      <c r="J22" s="54"/>
      <c r="K22" s="54"/>
    </row>
    <row r="23" spans="1:11">
      <c r="A23" s="19"/>
      <c r="B23" s="14" t="s">
        <v>643</v>
      </c>
      <c r="C23" s="18">
        <v>500</v>
      </c>
      <c r="D23" s="22"/>
      <c r="E23" s="25"/>
      <c r="F23" s="18"/>
      <c r="G23" s="23"/>
      <c r="H23" s="24">
        <v>8</v>
      </c>
      <c r="I23" s="51"/>
      <c r="J23" s="54"/>
      <c r="K23" s="54"/>
    </row>
    <row r="24" spans="1:11">
      <c r="A24" s="19"/>
      <c r="B24" s="26" t="s">
        <v>644</v>
      </c>
      <c r="C24" s="17"/>
      <c r="D24" s="23"/>
      <c r="E24" s="25"/>
      <c r="F24" s="18">
        <v>2400</v>
      </c>
      <c r="G24" s="18"/>
      <c r="H24" s="16">
        <v>8</v>
      </c>
      <c r="I24" s="51"/>
      <c r="J24" s="54"/>
      <c r="K24" s="54"/>
    </row>
    <row r="25" spans="1:11">
      <c r="A25" s="19">
        <v>45304</v>
      </c>
      <c r="B25" s="26" t="s">
        <v>645</v>
      </c>
      <c r="C25" s="17">
        <v>1000</v>
      </c>
      <c r="D25" s="23"/>
      <c r="E25" s="17"/>
      <c r="F25" s="18"/>
      <c r="G25" s="18"/>
      <c r="H25" s="16">
        <v>9</v>
      </c>
      <c r="I25" s="51"/>
      <c r="J25" s="54"/>
      <c r="K25" s="54"/>
    </row>
    <row r="26" spans="1:11">
      <c r="A26" s="19">
        <v>45306</v>
      </c>
      <c r="B26" s="26" t="s">
        <v>646</v>
      </c>
      <c r="C26" s="18">
        <v>4956</v>
      </c>
      <c r="D26" s="23"/>
      <c r="E26" s="17"/>
      <c r="F26" s="18"/>
      <c r="G26" s="25"/>
      <c r="H26" s="16">
        <v>2</v>
      </c>
      <c r="I26" s="51"/>
      <c r="J26" s="54"/>
      <c r="K26" s="54"/>
    </row>
    <row r="27" spans="1:11">
      <c r="A27" s="19"/>
      <c r="B27" s="14" t="s">
        <v>647</v>
      </c>
      <c r="C27" s="17">
        <v>1140</v>
      </c>
      <c r="D27" s="23"/>
      <c r="E27" s="25"/>
      <c r="F27" s="18"/>
      <c r="G27" s="18"/>
      <c r="H27" s="16" t="s">
        <v>648</v>
      </c>
      <c r="I27" s="51"/>
      <c r="J27" s="54"/>
      <c r="K27" s="54"/>
    </row>
    <row r="28" spans="1:11">
      <c r="A28" s="19">
        <v>45308</v>
      </c>
      <c r="B28" s="14" t="s">
        <v>649</v>
      </c>
      <c r="C28" s="18"/>
      <c r="D28" s="23">
        <v>314.75</v>
      </c>
      <c r="E28" s="17"/>
      <c r="F28" s="18"/>
      <c r="G28" s="18"/>
      <c r="H28" s="16">
        <v>10</v>
      </c>
      <c r="I28" s="51"/>
      <c r="J28" s="54"/>
      <c r="K28" s="54"/>
    </row>
    <row r="29" spans="1:11">
      <c r="A29" s="19">
        <v>45313</v>
      </c>
      <c r="B29" s="14" t="s">
        <v>650</v>
      </c>
      <c r="C29" s="18"/>
      <c r="D29" s="28">
        <v>6145</v>
      </c>
      <c r="E29" s="29"/>
      <c r="F29" s="18"/>
      <c r="G29" s="18"/>
      <c r="H29" s="16">
        <v>10</v>
      </c>
      <c r="I29" s="51"/>
      <c r="J29" s="54"/>
      <c r="K29" s="54"/>
    </row>
    <row r="30" spans="1:11">
      <c r="A30" s="19"/>
      <c r="B30" s="14" t="s">
        <v>651</v>
      </c>
      <c r="C30" s="17"/>
      <c r="D30" s="28">
        <v>552.5</v>
      </c>
      <c r="E30" s="29"/>
      <c r="F30" s="18"/>
      <c r="G30" s="30"/>
      <c r="H30" s="31">
        <v>10</v>
      </c>
      <c r="I30" s="51"/>
      <c r="J30" s="54"/>
      <c r="K30" s="54"/>
    </row>
    <row r="31" spans="1:11">
      <c r="A31" s="19">
        <v>45314</v>
      </c>
      <c r="B31" s="14" t="s">
        <v>652</v>
      </c>
      <c r="C31" s="17"/>
      <c r="D31" s="28"/>
      <c r="E31" s="29"/>
      <c r="F31" s="18"/>
      <c r="G31" s="30">
        <v>1700</v>
      </c>
      <c r="H31" s="31">
        <v>10</v>
      </c>
      <c r="I31" s="51"/>
      <c r="J31" s="54"/>
      <c r="K31" s="54"/>
    </row>
    <row r="32" spans="1:11">
      <c r="A32" s="19">
        <v>45316</v>
      </c>
      <c r="B32" s="14" t="s">
        <v>653</v>
      </c>
      <c r="C32" s="17"/>
      <c r="D32" s="28">
        <v>510</v>
      </c>
      <c r="E32" s="29"/>
      <c r="F32" s="18"/>
      <c r="G32" s="30"/>
      <c r="H32" s="31">
        <v>8</v>
      </c>
      <c r="I32" s="51"/>
      <c r="J32" s="54"/>
      <c r="K32" s="54"/>
    </row>
    <row r="33" spans="1:11">
      <c r="A33" s="19">
        <v>45318</v>
      </c>
      <c r="B33" s="14" t="s">
        <v>640</v>
      </c>
      <c r="C33" s="17"/>
      <c r="D33" s="28">
        <v>569</v>
      </c>
      <c r="E33" s="29"/>
      <c r="F33" s="18"/>
      <c r="G33" s="30"/>
      <c r="H33" s="31">
        <v>8</v>
      </c>
      <c r="I33" s="51"/>
      <c r="J33" s="54"/>
      <c r="K33" s="54"/>
    </row>
    <row r="34" spans="1:11">
      <c r="A34" s="19"/>
      <c r="B34" s="14" t="s">
        <v>640</v>
      </c>
      <c r="C34" s="17">
        <v>319</v>
      </c>
      <c r="D34" s="28"/>
      <c r="E34" s="29"/>
      <c r="F34" s="18"/>
      <c r="G34" s="30"/>
      <c r="H34" s="31">
        <v>8</v>
      </c>
      <c r="I34" s="51"/>
      <c r="J34" s="54"/>
      <c r="K34" s="54"/>
    </row>
    <row r="35" spans="1:11">
      <c r="A35" s="19">
        <v>45320</v>
      </c>
      <c r="B35" s="14" t="s">
        <v>654</v>
      </c>
      <c r="C35" s="17">
        <v>1000</v>
      </c>
      <c r="D35" s="28"/>
      <c r="E35" s="29"/>
      <c r="F35" s="18"/>
      <c r="G35" s="30"/>
      <c r="H35" s="31">
        <v>9</v>
      </c>
      <c r="I35" s="51"/>
      <c r="J35" s="54"/>
      <c r="K35" s="54"/>
    </row>
    <row r="36" spans="1:11">
      <c r="A36" s="19">
        <v>45321</v>
      </c>
      <c r="B36" s="14" t="s">
        <v>655</v>
      </c>
      <c r="C36" s="17">
        <v>4469.8500000000004</v>
      </c>
      <c r="D36" s="28">
        <v>1397.17</v>
      </c>
      <c r="E36" s="29"/>
      <c r="F36" s="18"/>
      <c r="G36" s="30"/>
      <c r="H36" s="31">
        <v>7</v>
      </c>
      <c r="I36" s="51"/>
      <c r="J36" s="54"/>
      <c r="K36" s="54"/>
    </row>
    <row r="37" spans="1:11">
      <c r="A37" s="19">
        <v>45322</v>
      </c>
      <c r="B37" s="14" t="s">
        <v>656</v>
      </c>
      <c r="C37" s="17">
        <v>6000</v>
      </c>
      <c r="D37" s="23"/>
      <c r="E37" s="18"/>
      <c r="F37" s="18"/>
      <c r="G37" s="30"/>
      <c r="H37" s="31">
        <v>3</v>
      </c>
      <c r="I37" s="51"/>
      <c r="J37" s="54"/>
      <c r="K37" s="54"/>
    </row>
    <row r="38" spans="1:11">
      <c r="A38" s="19"/>
      <c r="B38" s="14" t="s">
        <v>657</v>
      </c>
      <c r="C38" s="32">
        <v>8500</v>
      </c>
      <c r="D38" s="23">
        <v>6500</v>
      </c>
      <c r="E38" s="18"/>
      <c r="F38" s="18"/>
      <c r="G38" s="30"/>
      <c r="H38" s="31">
        <v>6</v>
      </c>
      <c r="I38" s="51"/>
      <c r="J38" s="54"/>
      <c r="K38" s="54"/>
    </row>
    <row r="39" spans="1:11">
      <c r="A39" s="33" t="s">
        <v>610</v>
      </c>
      <c r="B39" s="34" t="s">
        <v>658</v>
      </c>
      <c r="C39" s="35">
        <f>SUM(C4:C38)</f>
        <v>64938.78</v>
      </c>
      <c r="D39" s="35">
        <f>SUM(D4:D38)</f>
        <v>17733.52</v>
      </c>
      <c r="E39" s="35">
        <f>SUM(E4:E38)</f>
        <v>0</v>
      </c>
      <c r="F39" s="35">
        <f>SUM(F4:F38)</f>
        <v>4700</v>
      </c>
      <c r="G39" s="35">
        <f>SUM(G4:G38)</f>
        <v>3700</v>
      </c>
      <c r="H39" s="36"/>
      <c r="I39" s="61">
        <f>SUM(C39:H39)</f>
        <v>91072.3</v>
      </c>
      <c r="J39" s="54"/>
      <c r="K39" s="54"/>
    </row>
    <row r="40" spans="1:11">
      <c r="A40" s="13" t="s">
        <v>659</v>
      </c>
      <c r="B40" s="14"/>
      <c r="C40" s="17"/>
      <c r="D40" s="18"/>
      <c r="E40" s="17"/>
      <c r="F40" s="18"/>
      <c r="G40" s="30"/>
      <c r="H40" s="31"/>
      <c r="I40" s="51"/>
      <c r="J40" s="54"/>
      <c r="K40" s="54"/>
    </row>
    <row r="41" spans="1:11">
      <c r="A41" s="37">
        <v>45323</v>
      </c>
      <c r="B41" s="14" t="s">
        <v>660</v>
      </c>
      <c r="C41" s="38">
        <v>15000</v>
      </c>
      <c r="D41" s="38"/>
      <c r="E41" s="18"/>
      <c r="F41" s="18"/>
      <c r="G41" s="30"/>
      <c r="H41" s="31" t="s">
        <v>633</v>
      </c>
      <c r="I41" s="51"/>
      <c r="J41" s="62" t="s">
        <v>659</v>
      </c>
      <c r="K41" s="54" t="s">
        <v>661</v>
      </c>
    </row>
    <row r="42" spans="1:11">
      <c r="A42" s="37"/>
      <c r="B42" s="14" t="s">
        <v>637</v>
      </c>
      <c r="C42" s="39"/>
      <c r="D42" s="23">
        <v>724</v>
      </c>
      <c r="E42" s="18"/>
      <c r="F42" s="18"/>
      <c r="G42" s="30"/>
      <c r="H42" s="31">
        <v>8</v>
      </c>
      <c r="I42" s="51"/>
      <c r="J42" s="53" t="s">
        <v>613</v>
      </c>
      <c r="K42" s="54"/>
    </row>
    <row r="43" spans="1:11">
      <c r="A43" s="37">
        <v>45328</v>
      </c>
      <c r="B43" s="14" t="s">
        <v>662</v>
      </c>
      <c r="C43" s="18"/>
      <c r="D43" s="39"/>
      <c r="E43" s="18"/>
      <c r="F43" s="18"/>
      <c r="G43" s="30">
        <v>1500</v>
      </c>
      <c r="H43" s="31">
        <v>10</v>
      </c>
      <c r="I43" s="51"/>
      <c r="J43" s="55" t="s">
        <v>615</v>
      </c>
      <c r="K43" s="54"/>
    </row>
    <row r="44" spans="1:11">
      <c r="A44" s="37">
        <v>45334</v>
      </c>
      <c r="B44" s="14" t="s">
        <v>663</v>
      </c>
      <c r="C44" s="18">
        <v>714</v>
      </c>
      <c r="D44" s="39"/>
      <c r="E44" s="18"/>
      <c r="F44" s="18"/>
      <c r="G44" s="30"/>
      <c r="H44" s="31">
        <v>7</v>
      </c>
      <c r="I44" s="51"/>
      <c r="J44" s="56" t="s">
        <v>617</v>
      </c>
      <c r="K44" s="54">
        <f>SUM(C70)</f>
        <v>8180</v>
      </c>
    </row>
    <row r="45" spans="1:11">
      <c r="A45" s="37"/>
      <c r="B45" s="14" t="s">
        <v>664</v>
      </c>
      <c r="C45" s="18">
        <v>2000</v>
      </c>
      <c r="D45" s="39"/>
      <c r="E45" s="18"/>
      <c r="F45" s="18"/>
      <c r="G45" s="30"/>
      <c r="H45" s="31">
        <v>7</v>
      </c>
      <c r="I45" s="51"/>
      <c r="J45" s="57" t="s">
        <v>619</v>
      </c>
      <c r="K45" s="54"/>
    </row>
    <row r="46" spans="1:11">
      <c r="A46" s="37"/>
      <c r="B46" s="14" t="s">
        <v>665</v>
      </c>
      <c r="C46" s="18">
        <v>1140</v>
      </c>
      <c r="D46" s="39"/>
      <c r="E46" s="18"/>
      <c r="F46" s="18"/>
      <c r="G46" s="30"/>
      <c r="H46" s="31" t="s">
        <v>648</v>
      </c>
      <c r="I46" s="51"/>
      <c r="J46" s="58" t="s">
        <v>621</v>
      </c>
      <c r="K46" s="54"/>
    </row>
    <row r="47" spans="1:11">
      <c r="A47" s="37">
        <v>45335</v>
      </c>
      <c r="B47" s="14" t="s">
        <v>666</v>
      </c>
      <c r="C47" s="18">
        <v>1000</v>
      </c>
      <c r="D47" s="39"/>
      <c r="E47" s="18"/>
      <c r="F47" s="18"/>
      <c r="G47" s="30"/>
      <c r="H47" s="31">
        <v>9</v>
      </c>
      <c r="I47" s="51"/>
      <c r="J47" s="54" t="s">
        <v>623</v>
      </c>
      <c r="K47" s="54">
        <f>SUM(C71:D71)</f>
        <v>700</v>
      </c>
    </row>
    <row r="48" spans="1:11">
      <c r="A48" s="37">
        <v>45341</v>
      </c>
      <c r="B48" s="14" t="s">
        <v>667</v>
      </c>
      <c r="C48" s="18"/>
      <c r="D48" s="39"/>
      <c r="E48" s="18"/>
      <c r="F48" s="18"/>
      <c r="G48" s="30">
        <v>20000</v>
      </c>
      <c r="H48" s="31">
        <v>10</v>
      </c>
      <c r="I48" s="51"/>
      <c r="J48" s="54" t="s">
        <v>625</v>
      </c>
      <c r="K48" s="54"/>
    </row>
    <row r="49" spans="1:11">
      <c r="A49" s="37"/>
      <c r="B49" s="14" t="s">
        <v>668</v>
      </c>
      <c r="C49" s="18"/>
      <c r="D49" s="39"/>
      <c r="E49" s="18"/>
      <c r="F49" s="18"/>
      <c r="G49" s="30">
        <v>1700</v>
      </c>
      <c r="H49" s="31">
        <v>10</v>
      </c>
      <c r="I49" s="51"/>
      <c r="J49" s="54" t="s">
        <v>627</v>
      </c>
      <c r="K49" s="54">
        <f>SUM(C46)</f>
        <v>1140</v>
      </c>
    </row>
    <row r="50" spans="1:11">
      <c r="A50" s="37">
        <v>45345</v>
      </c>
      <c r="B50" s="14" t="s">
        <v>669</v>
      </c>
      <c r="C50" s="18">
        <v>2600</v>
      </c>
      <c r="D50" s="39"/>
      <c r="E50" s="18"/>
      <c r="F50" s="18"/>
      <c r="H50" s="31">
        <v>8</v>
      </c>
      <c r="I50" s="51"/>
      <c r="J50" s="54" t="s">
        <v>629</v>
      </c>
      <c r="K50" s="54">
        <f>SUM(C41)</f>
        <v>15000</v>
      </c>
    </row>
    <row r="51" spans="1:11">
      <c r="A51" s="37"/>
      <c r="B51" s="14" t="s">
        <v>669</v>
      </c>
      <c r="C51" s="18">
        <v>1400</v>
      </c>
      <c r="D51" s="39"/>
      <c r="E51" s="18"/>
      <c r="F51" s="18"/>
      <c r="H51" s="31">
        <v>8</v>
      </c>
      <c r="I51" s="51"/>
      <c r="J51" s="54" t="s">
        <v>631</v>
      </c>
      <c r="K51" s="54">
        <f>SUM(C44,C45)</f>
        <v>2714</v>
      </c>
    </row>
    <row r="52" spans="1:11">
      <c r="A52" s="37">
        <v>45351</v>
      </c>
      <c r="B52" s="14" t="s">
        <v>670</v>
      </c>
      <c r="C52" s="17">
        <v>6000</v>
      </c>
      <c r="D52" s="23"/>
      <c r="E52" s="18"/>
      <c r="F52" s="18"/>
      <c r="H52" s="31">
        <v>3</v>
      </c>
      <c r="I52" s="51"/>
      <c r="J52" s="54" t="s">
        <v>634</v>
      </c>
      <c r="K52" s="54">
        <f>SUM(D42,C50,C51,)</f>
        <v>4724</v>
      </c>
    </row>
    <row r="53" spans="1:11">
      <c r="A53" s="37"/>
      <c r="B53" s="14" t="s">
        <v>671</v>
      </c>
      <c r="C53" s="32">
        <v>8500</v>
      </c>
      <c r="D53" s="23">
        <v>6500</v>
      </c>
      <c r="E53" s="18"/>
      <c r="F53" s="18"/>
      <c r="G53" s="30"/>
      <c r="H53" s="31">
        <v>6</v>
      </c>
      <c r="I53" s="51"/>
      <c r="J53" s="54" t="s">
        <v>636</v>
      </c>
      <c r="K53" s="63">
        <f>SUM(C47,K57)</f>
        <v>1000</v>
      </c>
    </row>
    <row r="54" spans="1:11">
      <c r="A54" s="40" t="s">
        <v>659</v>
      </c>
      <c r="B54" s="34" t="s">
        <v>658</v>
      </c>
      <c r="C54" s="35">
        <f>SUM(C41:C53)</f>
        <v>38354</v>
      </c>
      <c r="D54" s="41">
        <f>SUM(D41:D53)</f>
        <v>7224</v>
      </c>
      <c r="E54" s="35"/>
      <c r="F54" s="35"/>
      <c r="G54" s="42">
        <f>SUM(G42:G53)</f>
        <v>23200</v>
      </c>
      <c r="H54" s="43"/>
      <c r="I54" s="64">
        <f>SUM(C54:H54)</f>
        <v>68778</v>
      </c>
      <c r="J54" s="54" t="s">
        <v>638</v>
      </c>
      <c r="K54" s="54">
        <f>SUM(G43,G48,G49)</f>
        <v>23200</v>
      </c>
    </row>
    <row r="55" spans="1:11">
      <c r="A55" s="44" t="s">
        <v>672</v>
      </c>
      <c r="B55" s="14"/>
      <c r="C55" s="18"/>
      <c r="D55" s="39"/>
      <c r="E55" s="18"/>
      <c r="F55" s="18"/>
      <c r="G55" s="30"/>
      <c r="H55" s="31"/>
      <c r="I55" s="51"/>
      <c r="J55" s="62" t="s">
        <v>659</v>
      </c>
      <c r="K55" s="65">
        <f>SUM(K42:K54)</f>
        <v>56658</v>
      </c>
    </row>
    <row r="56" spans="1:11">
      <c r="A56" s="37">
        <v>45352</v>
      </c>
      <c r="B56" s="14" t="s">
        <v>673</v>
      </c>
      <c r="C56" s="18">
        <v>8595.27</v>
      </c>
      <c r="D56" s="22">
        <v>1762.56</v>
      </c>
      <c r="E56" s="18"/>
      <c r="F56" s="18"/>
      <c r="G56" s="30"/>
      <c r="H56" s="31">
        <v>7</v>
      </c>
      <c r="I56" s="51"/>
      <c r="J56" s="54"/>
      <c r="K56" s="54"/>
    </row>
    <row r="57" spans="1:11">
      <c r="A57" s="37">
        <v>45353</v>
      </c>
      <c r="B57" s="14" t="s">
        <v>674</v>
      </c>
      <c r="C57" s="18">
        <v>500</v>
      </c>
      <c r="D57" s="45"/>
      <c r="E57" s="18"/>
      <c r="F57" s="18"/>
      <c r="G57" s="30"/>
      <c r="H57" s="31">
        <v>8</v>
      </c>
      <c r="I57" s="51"/>
      <c r="J57" s="54"/>
      <c r="K57" s="54"/>
    </row>
    <row r="58" spans="1:11">
      <c r="A58" s="37"/>
      <c r="B58" s="14" t="s">
        <v>675</v>
      </c>
      <c r="C58" s="18">
        <v>15000</v>
      </c>
      <c r="D58" s="22"/>
      <c r="E58" s="18"/>
      <c r="F58" s="18"/>
      <c r="G58" s="30"/>
      <c r="H58" s="31" t="s">
        <v>633</v>
      </c>
      <c r="I58" s="51"/>
      <c r="J58" s="54"/>
      <c r="K58" s="54"/>
    </row>
    <row r="59" spans="1:11">
      <c r="A59" s="46">
        <v>45356</v>
      </c>
      <c r="B59" s="14" t="s">
        <v>676</v>
      </c>
      <c r="C59" s="17"/>
      <c r="D59" s="23">
        <v>1200</v>
      </c>
      <c r="E59" s="18"/>
      <c r="F59" s="18"/>
      <c r="G59" s="30"/>
      <c r="H59" s="31">
        <v>8</v>
      </c>
      <c r="I59" s="51"/>
    </row>
    <row r="60" spans="1:11">
      <c r="A60" s="46"/>
      <c r="B60" s="14" t="s">
        <v>677</v>
      </c>
      <c r="C60" s="17"/>
      <c r="D60" s="23">
        <v>500</v>
      </c>
      <c r="E60" s="18"/>
      <c r="F60" s="18"/>
      <c r="G60" s="30"/>
      <c r="H60" s="31">
        <v>8</v>
      </c>
      <c r="I60" s="51"/>
    </row>
    <row r="61" spans="1:11">
      <c r="A61" s="37">
        <v>45358</v>
      </c>
      <c r="B61" s="14" t="s">
        <v>678</v>
      </c>
      <c r="C61" s="17">
        <v>570</v>
      </c>
      <c r="D61" s="23"/>
      <c r="E61" s="18"/>
      <c r="F61" s="18"/>
      <c r="G61" s="30"/>
      <c r="H61" s="31" t="s">
        <v>648</v>
      </c>
      <c r="I61" s="51"/>
    </row>
    <row r="62" spans="1:11">
      <c r="A62" s="37"/>
      <c r="B62" s="14" t="s">
        <v>679</v>
      </c>
      <c r="C62" s="17">
        <v>1500</v>
      </c>
      <c r="D62" s="23"/>
      <c r="E62" s="18"/>
      <c r="F62" s="18"/>
      <c r="G62" s="30"/>
      <c r="H62" s="31" t="s">
        <v>680</v>
      </c>
      <c r="I62" s="51"/>
    </row>
    <row r="63" spans="1:11">
      <c r="A63" s="46">
        <v>45359</v>
      </c>
      <c r="B63" s="14" t="s">
        <v>654</v>
      </c>
      <c r="C63" s="28">
        <v>500</v>
      </c>
      <c r="D63" s="17"/>
      <c r="E63" s="18"/>
      <c r="F63" s="18"/>
      <c r="G63" s="30"/>
      <c r="H63" s="31">
        <v>9</v>
      </c>
      <c r="I63" s="51"/>
    </row>
    <row r="64" spans="1:11">
      <c r="A64" s="46">
        <v>45362</v>
      </c>
      <c r="B64" s="14" t="s">
        <v>681</v>
      </c>
      <c r="C64" s="17">
        <v>1919</v>
      </c>
      <c r="D64" s="23"/>
      <c r="E64" s="18"/>
      <c r="F64" s="18"/>
      <c r="G64" s="30"/>
      <c r="H64" s="31">
        <v>8</v>
      </c>
      <c r="I64" s="51"/>
    </row>
    <row r="65" spans="1:11">
      <c r="A65" s="37"/>
      <c r="B65" s="14" t="s">
        <v>682</v>
      </c>
      <c r="C65" s="17">
        <v>28</v>
      </c>
      <c r="D65" s="23"/>
      <c r="E65" s="18"/>
      <c r="F65" s="18"/>
      <c r="G65" s="30"/>
      <c r="H65" s="31">
        <v>8</v>
      </c>
      <c r="I65" s="51"/>
    </row>
    <row r="66" spans="1:11">
      <c r="A66" s="37"/>
      <c r="B66" s="14" t="s">
        <v>682</v>
      </c>
      <c r="C66" s="17">
        <v>2795</v>
      </c>
      <c r="D66" s="23"/>
      <c r="E66" s="18"/>
      <c r="F66" s="18"/>
      <c r="G66" s="30"/>
      <c r="H66" s="31">
        <v>8</v>
      </c>
      <c r="I66" s="51"/>
      <c r="J66" s="54"/>
      <c r="K66" s="54"/>
    </row>
    <row r="67" spans="1:11">
      <c r="A67" s="46">
        <v>45363</v>
      </c>
      <c r="B67" s="14" t="s">
        <v>683</v>
      </c>
      <c r="C67" s="17">
        <v>740.2</v>
      </c>
      <c r="D67" s="23"/>
      <c r="E67" s="18"/>
      <c r="F67" s="18"/>
      <c r="G67" s="30"/>
      <c r="H67" s="31">
        <v>7</v>
      </c>
      <c r="I67" s="51"/>
      <c r="J67" s="54"/>
      <c r="K67" s="63"/>
    </row>
    <row r="68" spans="1:11">
      <c r="A68" s="46">
        <v>45366</v>
      </c>
      <c r="B68" s="14" t="s">
        <v>684</v>
      </c>
      <c r="C68" s="17">
        <v>166.36</v>
      </c>
      <c r="D68" s="23"/>
      <c r="E68" s="18"/>
      <c r="F68" s="18"/>
      <c r="G68" s="30"/>
      <c r="H68" s="31">
        <v>8</v>
      </c>
      <c r="I68" s="51"/>
      <c r="J68" s="54"/>
      <c r="K68" s="76"/>
    </row>
    <row r="69" spans="1:11">
      <c r="A69" s="46"/>
      <c r="B69" s="14" t="s">
        <v>684</v>
      </c>
      <c r="C69" s="17">
        <v>7205.94</v>
      </c>
      <c r="D69" s="23"/>
      <c r="E69" s="18"/>
      <c r="F69" s="18"/>
      <c r="G69" s="30"/>
      <c r="H69" s="31">
        <v>8</v>
      </c>
      <c r="I69" s="51"/>
      <c r="J69" s="54"/>
    </row>
    <row r="70" spans="1:11">
      <c r="A70" s="37"/>
      <c r="B70" s="14" t="s">
        <v>685</v>
      </c>
      <c r="C70" s="17">
        <v>8180</v>
      </c>
      <c r="D70" s="23"/>
      <c r="E70" s="18"/>
      <c r="F70" s="18"/>
      <c r="G70" s="30"/>
      <c r="H70" s="31">
        <v>8</v>
      </c>
      <c r="I70" s="51"/>
      <c r="J70" s="54"/>
      <c r="K70" s="54"/>
    </row>
    <row r="71" spans="1:11">
      <c r="A71" s="46"/>
      <c r="B71" s="14" t="s">
        <v>686</v>
      </c>
      <c r="C71" s="32">
        <v>700</v>
      </c>
      <c r="D71" s="66"/>
      <c r="E71" s="18"/>
      <c r="F71" s="18"/>
      <c r="G71" s="30"/>
      <c r="H71" s="31">
        <v>8</v>
      </c>
      <c r="I71" s="51"/>
      <c r="J71" s="54"/>
      <c r="K71" s="54"/>
    </row>
    <row r="72" spans="1:11">
      <c r="A72" s="46">
        <v>45367</v>
      </c>
      <c r="B72" s="14" t="s">
        <v>687</v>
      </c>
      <c r="C72" s="32"/>
      <c r="D72" s="23">
        <v>568.20000000000005</v>
      </c>
      <c r="E72" s="18"/>
      <c r="F72" s="18"/>
      <c r="G72" s="30"/>
      <c r="H72" s="31">
        <v>10</v>
      </c>
      <c r="I72" s="51"/>
      <c r="J72" s="54"/>
      <c r="K72" s="54"/>
    </row>
    <row r="73" spans="1:11">
      <c r="A73" s="46"/>
      <c r="B73" s="14" t="s">
        <v>688</v>
      </c>
      <c r="C73" s="32"/>
      <c r="D73" s="23">
        <v>2748</v>
      </c>
      <c r="E73" s="18"/>
      <c r="F73" s="18"/>
      <c r="G73" s="30"/>
      <c r="H73" s="31">
        <v>10</v>
      </c>
      <c r="I73" s="51"/>
      <c r="J73" s="54"/>
      <c r="K73" s="54"/>
    </row>
    <row r="74" spans="1:11">
      <c r="A74" s="46"/>
      <c r="B74" s="14" t="s">
        <v>689</v>
      </c>
      <c r="C74" s="32">
        <v>1000</v>
      </c>
      <c r="D74" s="23"/>
      <c r="E74" s="18"/>
      <c r="F74" s="18"/>
      <c r="G74" s="30"/>
      <c r="H74" s="31">
        <v>9</v>
      </c>
      <c r="I74" s="51"/>
      <c r="J74" s="54"/>
      <c r="K74" s="54"/>
    </row>
    <row r="75" spans="1:11">
      <c r="A75" s="46"/>
      <c r="B75" s="14" t="s">
        <v>690</v>
      </c>
      <c r="C75" s="32">
        <v>1713</v>
      </c>
      <c r="D75" s="23"/>
      <c r="E75" s="18"/>
      <c r="F75" s="18"/>
      <c r="G75" s="30"/>
      <c r="H75" s="31">
        <v>8</v>
      </c>
      <c r="I75" s="51"/>
      <c r="J75" s="54"/>
      <c r="K75" s="54"/>
    </row>
    <row r="76" spans="1:11">
      <c r="A76" s="46"/>
      <c r="B76" s="14" t="s">
        <v>691</v>
      </c>
      <c r="C76" s="32">
        <v>3600</v>
      </c>
      <c r="D76" s="23"/>
      <c r="E76" s="18"/>
      <c r="F76" s="18"/>
      <c r="G76" s="30"/>
      <c r="H76" s="31">
        <v>8</v>
      </c>
      <c r="I76" s="51"/>
      <c r="J76" s="54"/>
      <c r="K76" s="54"/>
    </row>
    <row r="77" spans="1:11">
      <c r="A77" s="46">
        <v>45368</v>
      </c>
      <c r="B77" s="14" t="s">
        <v>692</v>
      </c>
      <c r="C77" s="32">
        <v>1661</v>
      </c>
      <c r="D77" s="23"/>
      <c r="E77" s="18"/>
      <c r="F77" s="18"/>
      <c r="G77" s="30"/>
      <c r="H77" s="31">
        <v>7</v>
      </c>
      <c r="I77" s="51"/>
      <c r="J77" s="62" t="s">
        <v>672</v>
      </c>
      <c r="K77" s="54" t="s">
        <v>661</v>
      </c>
    </row>
    <row r="78" spans="1:11">
      <c r="A78" s="46">
        <v>45369</v>
      </c>
      <c r="B78" s="14" t="s">
        <v>693</v>
      </c>
      <c r="C78" s="32">
        <v>6895</v>
      </c>
      <c r="D78" s="23"/>
      <c r="E78" s="18"/>
      <c r="F78" s="18"/>
      <c r="G78" s="30"/>
      <c r="H78" s="31">
        <v>8</v>
      </c>
      <c r="I78" s="51"/>
      <c r="J78" s="53" t="s">
        <v>613</v>
      </c>
      <c r="K78" s="54"/>
    </row>
    <row r="79" spans="1:11">
      <c r="A79" s="46"/>
      <c r="B79" s="14" t="s">
        <v>694</v>
      </c>
      <c r="C79" s="32">
        <v>120000</v>
      </c>
      <c r="D79" s="23"/>
      <c r="E79" s="18"/>
      <c r="F79" s="18"/>
      <c r="G79" s="30"/>
      <c r="H79" s="31">
        <v>8</v>
      </c>
      <c r="I79" s="51"/>
      <c r="J79" s="55" t="s">
        <v>615</v>
      </c>
      <c r="K79" s="54"/>
    </row>
    <row r="80" spans="1:11">
      <c r="A80" s="46">
        <v>45372</v>
      </c>
      <c r="B80" s="14" t="s">
        <v>695</v>
      </c>
      <c r="C80" s="32">
        <v>760</v>
      </c>
      <c r="D80" s="23"/>
      <c r="E80" s="18"/>
      <c r="F80" s="18"/>
      <c r="G80" s="30"/>
      <c r="H80" s="31">
        <v>8</v>
      </c>
      <c r="I80" s="51"/>
      <c r="J80" s="56" t="s">
        <v>617</v>
      </c>
      <c r="K80" s="54"/>
    </row>
    <row r="81" spans="1:11">
      <c r="A81" s="46">
        <v>45373</v>
      </c>
      <c r="B81" s="14" t="s">
        <v>696</v>
      </c>
      <c r="C81" s="32">
        <v>2252</v>
      </c>
      <c r="D81" s="23"/>
      <c r="E81" s="18"/>
      <c r="F81" s="18"/>
      <c r="G81" s="30"/>
      <c r="H81" s="31">
        <v>9</v>
      </c>
      <c r="I81" s="51"/>
      <c r="J81" s="57" t="s">
        <v>619</v>
      </c>
      <c r="K81" s="54"/>
    </row>
    <row r="82" spans="1:11">
      <c r="A82" s="46">
        <v>45374</v>
      </c>
      <c r="B82" s="14" t="s">
        <v>697</v>
      </c>
      <c r="C82" s="32">
        <v>1800</v>
      </c>
      <c r="D82" s="23"/>
      <c r="E82" s="18"/>
      <c r="F82" s="18"/>
      <c r="G82" s="30"/>
      <c r="H82" s="31">
        <v>8</v>
      </c>
      <c r="I82" s="51"/>
      <c r="J82" s="58" t="s">
        <v>621</v>
      </c>
      <c r="K82" s="54"/>
    </row>
    <row r="83" spans="1:11">
      <c r="A83" s="46"/>
      <c r="B83" s="14" t="s">
        <v>698</v>
      </c>
      <c r="C83" s="32">
        <v>2400</v>
      </c>
      <c r="D83" s="23"/>
      <c r="E83" s="18"/>
      <c r="F83" s="18"/>
      <c r="G83" s="30"/>
      <c r="H83" s="31">
        <v>8</v>
      </c>
      <c r="I83" s="51"/>
      <c r="J83" s="54" t="s">
        <v>623</v>
      </c>
      <c r="K83" s="54">
        <f>SUM(C103,D103)</f>
        <v>15000</v>
      </c>
    </row>
    <row r="84" spans="1:11">
      <c r="A84" s="46"/>
      <c r="B84" s="14" t="s">
        <v>699</v>
      </c>
      <c r="C84" s="32">
        <v>5000</v>
      </c>
      <c r="D84" s="23"/>
      <c r="E84" s="18"/>
      <c r="F84" s="18"/>
      <c r="G84" s="30"/>
      <c r="H84" s="31">
        <v>8</v>
      </c>
      <c r="I84" s="51"/>
      <c r="J84" s="54" t="s">
        <v>625</v>
      </c>
      <c r="K84" s="54">
        <v>1500</v>
      </c>
    </row>
    <row r="85" spans="1:11">
      <c r="A85" s="46"/>
      <c r="B85" s="14" t="s">
        <v>700</v>
      </c>
      <c r="C85" s="32">
        <v>120000</v>
      </c>
      <c r="D85" s="23"/>
      <c r="E85" s="18"/>
      <c r="F85" s="18"/>
      <c r="G85" s="30"/>
      <c r="H85" s="31">
        <v>8</v>
      </c>
      <c r="I85" s="51"/>
      <c r="J85" s="54" t="s">
        <v>627</v>
      </c>
      <c r="K85" s="54">
        <v>570</v>
      </c>
    </row>
    <row r="86" spans="1:11">
      <c r="A86" s="46"/>
      <c r="B86" s="14" t="s">
        <v>701</v>
      </c>
      <c r="C86" s="32">
        <v>1033.5</v>
      </c>
      <c r="D86" s="23"/>
      <c r="E86" s="18"/>
      <c r="F86" s="18"/>
      <c r="G86" s="30"/>
      <c r="H86" s="31">
        <v>8</v>
      </c>
      <c r="I86" s="51"/>
      <c r="J86" s="54" t="s">
        <v>629</v>
      </c>
      <c r="K86" s="54">
        <v>15000</v>
      </c>
    </row>
    <row r="87" spans="1:11">
      <c r="A87" s="46"/>
      <c r="B87" s="14" t="s">
        <v>701</v>
      </c>
      <c r="C87" s="32">
        <v>1434.25</v>
      </c>
      <c r="D87" s="23"/>
      <c r="E87" s="18"/>
      <c r="F87" s="18"/>
      <c r="G87" s="30"/>
      <c r="H87" s="31">
        <v>8</v>
      </c>
      <c r="I87" s="51"/>
      <c r="J87" s="54" t="s">
        <v>631</v>
      </c>
      <c r="K87" s="54">
        <f>SUM(C56,D56,C67,C77,C96,D96,C97)</f>
        <v>23633.59</v>
      </c>
    </row>
    <row r="88" spans="1:11">
      <c r="A88" s="46"/>
      <c r="B88" s="14" t="s">
        <v>702</v>
      </c>
      <c r="C88" s="32">
        <v>1200</v>
      </c>
      <c r="D88" s="23"/>
      <c r="E88" s="18"/>
      <c r="F88" s="18"/>
      <c r="G88" s="30"/>
      <c r="H88" s="31">
        <v>8</v>
      </c>
      <c r="I88" s="51"/>
      <c r="J88" s="54" t="s">
        <v>634</v>
      </c>
      <c r="K88" s="54">
        <f>SUM(C57,D59,D60,C64,C65,C66,C68,C69,C70,C71,C75,C76,C78,C79,C80,C82,C83,C84,C85,C86,C87,C88,C89,C90,C91,C92,C93,G95,C98,G99,C100,G101,C102,C94)</f>
        <v>313516.05</v>
      </c>
    </row>
    <row r="89" spans="1:11">
      <c r="A89" s="46"/>
      <c r="B89" s="14" t="s">
        <v>697</v>
      </c>
      <c r="C89" s="32">
        <v>1800</v>
      </c>
      <c r="D89" s="23"/>
      <c r="E89" s="18"/>
      <c r="F89" s="18"/>
      <c r="G89" s="30"/>
      <c r="H89" s="31">
        <v>8</v>
      </c>
      <c r="I89" s="51"/>
      <c r="J89" s="54" t="s">
        <v>636</v>
      </c>
      <c r="K89" s="63">
        <f>SUM(C63,C74,C81)</f>
        <v>3752</v>
      </c>
    </row>
    <row r="90" spans="1:11">
      <c r="A90" s="46"/>
      <c r="B90" s="14" t="s">
        <v>703</v>
      </c>
      <c r="C90" s="32">
        <v>2400</v>
      </c>
      <c r="D90" s="23"/>
      <c r="E90" s="18"/>
      <c r="F90" s="18"/>
      <c r="G90" s="30"/>
      <c r="H90" s="31">
        <v>8</v>
      </c>
      <c r="I90" s="51"/>
      <c r="J90" s="54" t="s">
        <v>638</v>
      </c>
      <c r="K90" s="54">
        <f>SUM(D72,D73)</f>
        <v>3316.2</v>
      </c>
    </row>
    <row r="91" spans="1:11">
      <c r="A91" s="46"/>
      <c r="B91" s="14" t="s">
        <v>704</v>
      </c>
      <c r="C91" s="32">
        <v>5000</v>
      </c>
      <c r="D91" s="23"/>
      <c r="E91" s="18"/>
      <c r="F91" s="18"/>
      <c r="G91" s="30"/>
      <c r="H91" s="31">
        <v>8</v>
      </c>
      <c r="I91" s="51"/>
      <c r="J91" s="62" t="s">
        <v>672</v>
      </c>
      <c r="K91" s="65">
        <f>SUM(K83:K90)</f>
        <v>376287.84</v>
      </c>
    </row>
    <row r="92" spans="1:11">
      <c r="A92" s="46">
        <v>45376</v>
      </c>
      <c r="B92" s="14" t="s">
        <v>693</v>
      </c>
      <c r="C92" s="32">
        <v>3439</v>
      </c>
      <c r="D92" s="23"/>
      <c r="E92" s="18"/>
      <c r="F92" s="18"/>
      <c r="G92" s="30"/>
      <c r="H92" s="31">
        <v>8</v>
      </c>
      <c r="I92" s="51"/>
      <c r="J92" s="54"/>
      <c r="K92" s="54"/>
    </row>
    <row r="93" spans="1:11">
      <c r="A93" s="46">
        <v>45377</v>
      </c>
      <c r="B93" s="14" t="s">
        <v>705</v>
      </c>
      <c r="C93" s="32">
        <v>1760</v>
      </c>
      <c r="D93" s="23"/>
      <c r="E93" s="18"/>
      <c r="F93" s="18"/>
      <c r="G93" s="30"/>
      <c r="H93" s="31">
        <v>8</v>
      </c>
      <c r="I93" s="51"/>
      <c r="J93" s="54"/>
      <c r="K93" s="54"/>
    </row>
    <row r="94" spans="1:11">
      <c r="A94" s="46"/>
      <c r="B94" s="14" t="s">
        <v>706</v>
      </c>
      <c r="C94" s="32">
        <v>270</v>
      </c>
      <c r="D94" s="23"/>
      <c r="E94" s="18"/>
      <c r="F94" s="18"/>
      <c r="G94" s="30"/>
      <c r="H94" s="31">
        <v>8</v>
      </c>
      <c r="I94" s="51"/>
      <c r="J94" s="54"/>
      <c r="K94" s="54"/>
    </row>
    <row r="95" spans="1:11">
      <c r="A95" s="46">
        <v>45378</v>
      </c>
      <c r="B95" s="14" t="s">
        <v>707</v>
      </c>
      <c r="C95" s="32"/>
      <c r="D95" s="23"/>
      <c r="E95" s="18"/>
      <c r="F95" s="18"/>
      <c r="G95" s="30">
        <v>2017</v>
      </c>
      <c r="H95" s="31">
        <v>8</v>
      </c>
      <c r="I95" s="51"/>
      <c r="J95" s="77" t="s">
        <v>708</v>
      </c>
      <c r="K95" s="54"/>
    </row>
    <row r="96" spans="1:11">
      <c r="A96" s="46"/>
      <c r="B96" s="14" t="s">
        <v>709</v>
      </c>
      <c r="C96" s="32">
        <v>8580.74</v>
      </c>
      <c r="D96" s="23">
        <v>2288.2199999999998</v>
      </c>
      <c r="E96" s="18"/>
      <c r="F96" s="18"/>
      <c r="G96" s="30"/>
      <c r="H96" s="31">
        <v>7</v>
      </c>
      <c r="I96" s="51"/>
      <c r="J96" s="54" t="s">
        <v>710</v>
      </c>
      <c r="K96" s="54"/>
    </row>
    <row r="97" spans="1:11">
      <c r="A97" s="46"/>
      <c r="B97" s="14" t="s">
        <v>711</v>
      </c>
      <c r="C97" s="32">
        <v>5.6</v>
      </c>
      <c r="D97" s="23"/>
      <c r="E97" s="18"/>
      <c r="F97" s="18"/>
      <c r="G97" s="30"/>
      <c r="H97" s="31">
        <v>7</v>
      </c>
      <c r="I97" s="51"/>
      <c r="J97" s="54" t="s">
        <v>712</v>
      </c>
      <c r="K97" s="54"/>
    </row>
    <row r="98" spans="1:11">
      <c r="A98" s="46">
        <v>45379</v>
      </c>
      <c r="B98" s="14" t="s">
        <v>713</v>
      </c>
      <c r="C98" s="32">
        <v>1200</v>
      </c>
      <c r="D98" s="23"/>
      <c r="E98" s="18"/>
      <c r="F98" s="18"/>
      <c r="G98" s="30"/>
      <c r="H98" s="31">
        <v>8</v>
      </c>
      <c r="I98" s="51"/>
      <c r="J98" s="54"/>
      <c r="K98" s="54" t="s">
        <v>714</v>
      </c>
    </row>
    <row r="99" spans="1:11">
      <c r="A99" s="46"/>
      <c r="B99" s="14" t="s">
        <v>715</v>
      </c>
      <c r="C99" s="32"/>
      <c r="D99" s="23"/>
      <c r="E99" s="18"/>
      <c r="F99" s="18"/>
      <c r="G99" s="30">
        <v>1200</v>
      </c>
      <c r="H99" s="31">
        <v>8</v>
      </c>
      <c r="I99" s="51"/>
      <c r="J99" s="54"/>
      <c r="K99" s="54"/>
    </row>
    <row r="100" spans="1:11">
      <c r="A100" s="46"/>
      <c r="B100" s="14" t="s">
        <v>716</v>
      </c>
      <c r="C100" s="32">
        <v>1200</v>
      </c>
      <c r="D100" s="23"/>
      <c r="E100" s="18"/>
      <c r="F100" s="18"/>
      <c r="G100" s="30"/>
      <c r="H100" s="31">
        <v>8</v>
      </c>
      <c r="I100" s="51"/>
      <c r="J100" s="54"/>
      <c r="K100" s="54"/>
    </row>
    <row r="101" spans="1:11">
      <c r="A101" s="46"/>
      <c r="B101" s="14" t="s">
        <v>717</v>
      </c>
      <c r="C101" s="32"/>
      <c r="D101" s="23"/>
      <c r="E101" s="18"/>
      <c r="F101" s="18"/>
      <c r="G101" s="30">
        <v>1200</v>
      </c>
      <c r="H101" s="31">
        <v>8</v>
      </c>
      <c r="I101" s="51"/>
      <c r="J101" s="54"/>
      <c r="K101" s="54"/>
    </row>
    <row r="102" spans="1:11">
      <c r="A102" s="46"/>
      <c r="B102" s="14" t="s">
        <v>718</v>
      </c>
      <c r="C102" s="32">
        <v>3000</v>
      </c>
      <c r="D102" s="23"/>
      <c r="E102" s="18"/>
      <c r="F102" s="18"/>
      <c r="G102" s="30"/>
      <c r="H102" s="31">
        <v>8</v>
      </c>
      <c r="I102" s="51"/>
      <c r="J102" s="54"/>
      <c r="K102" s="54"/>
    </row>
    <row r="103" spans="1:11">
      <c r="A103" s="46">
        <v>45382</v>
      </c>
      <c r="B103" s="14" t="s">
        <v>719</v>
      </c>
      <c r="C103" s="32">
        <v>8500</v>
      </c>
      <c r="D103" s="23">
        <v>6500</v>
      </c>
      <c r="E103" s="18"/>
      <c r="F103" s="18"/>
      <c r="G103" s="30"/>
      <c r="H103" s="31">
        <v>6</v>
      </c>
      <c r="I103" s="51"/>
      <c r="J103" s="54"/>
      <c r="K103" s="54"/>
    </row>
    <row r="104" spans="1:11">
      <c r="A104" s="33" t="s">
        <v>672</v>
      </c>
      <c r="B104" s="34" t="s">
        <v>720</v>
      </c>
      <c r="C104" s="41">
        <f>SUM(C56:C103)</f>
        <v>356303.86</v>
      </c>
      <c r="D104" s="67">
        <f>SUM(D56:D103)</f>
        <v>15566.98</v>
      </c>
      <c r="E104" s="35"/>
      <c r="F104" s="35"/>
      <c r="G104" s="35">
        <f>SUM(G56:G103)</f>
        <v>4417</v>
      </c>
      <c r="H104" s="43"/>
      <c r="I104" s="64">
        <f>SUM(C104:G104)</f>
        <v>376287.83999999997</v>
      </c>
      <c r="J104" s="54"/>
      <c r="K104" s="54"/>
    </row>
    <row r="105" spans="1:11">
      <c r="A105" s="68" t="s">
        <v>721</v>
      </c>
      <c r="B105" s="14"/>
      <c r="C105" s="32"/>
      <c r="D105" s="23"/>
      <c r="E105" s="18"/>
      <c r="F105" s="18"/>
      <c r="G105" s="30"/>
      <c r="H105" s="31"/>
      <c r="I105" s="51"/>
      <c r="J105" s="54"/>
      <c r="K105" s="54"/>
    </row>
    <row r="106" spans="1:11">
      <c r="A106" s="46">
        <v>45383</v>
      </c>
      <c r="B106" s="14" t="s">
        <v>722</v>
      </c>
      <c r="C106" s="32">
        <v>1000</v>
      </c>
      <c r="D106" s="23"/>
      <c r="E106" s="18"/>
      <c r="F106" s="18"/>
      <c r="G106" s="30"/>
      <c r="H106" s="31">
        <v>9</v>
      </c>
      <c r="I106" s="51"/>
      <c r="J106" s="54"/>
      <c r="K106" s="54"/>
    </row>
    <row r="107" spans="1:11">
      <c r="A107" s="46"/>
      <c r="B107" s="14" t="s">
        <v>723</v>
      </c>
      <c r="C107" s="32">
        <v>3500</v>
      </c>
      <c r="D107" s="23"/>
      <c r="E107" s="18"/>
      <c r="F107" s="18"/>
      <c r="G107" s="30"/>
      <c r="H107" s="31">
        <v>2</v>
      </c>
      <c r="I107" s="51"/>
      <c r="J107" s="54"/>
      <c r="K107" s="54"/>
    </row>
    <row r="108" spans="1:11">
      <c r="A108" s="46"/>
      <c r="B108" s="14" t="s">
        <v>724</v>
      </c>
      <c r="C108" s="32">
        <v>450</v>
      </c>
      <c r="D108" s="23"/>
      <c r="E108" s="18"/>
      <c r="F108" s="18"/>
      <c r="G108" s="30"/>
      <c r="H108" s="31">
        <v>2</v>
      </c>
      <c r="I108" s="51"/>
      <c r="J108" s="54"/>
      <c r="K108" s="54"/>
    </row>
    <row r="109" spans="1:11">
      <c r="A109" s="46">
        <v>45385</v>
      </c>
      <c r="B109" s="14" t="s">
        <v>725</v>
      </c>
      <c r="C109" s="32"/>
      <c r="D109" s="23"/>
      <c r="E109" s="18"/>
      <c r="F109" s="18"/>
      <c r="G109" s="30">
        <v>330</v>
      </c>
      <c r="H109" s="31">
        <v>8</v>
      </c>
      <c r="I109" s="51"/>
      <c r="J109" s="54"/>
      <c r="K109" s="54"/>
    </row>
    <row r="110" spans="1:11">
      <c r="A110" s="46"/>
      <c r="B110" s="14" t="s">
        <v>726</v>
      </c>
      <c r="C110" s="32">
        <v>3852.38</v>
      </c>
      <c r="D110" s="23"/>
      <c r="E110" s="18"/>
      <c r="F110" s="18"/>
      <c r="G110" s="30"/>
      <c r="H110" s="31">
        <v>8</v>
      </c>
      <c r="I110" s="51"/>
      <c r="J110" s="62" t="s">
        <v>727</v>
      </c>
      <c r="K110" s="54" t="s">
        <v>661</v>
      </c>
    </row>
    <row r="111" spans="1:11">
      <c r="A111" s="46"/>
      <c r="B111" s="14" t="s">
        <v>728</v>
      </c>
      <c r="C111" s="32">
        <v>8000</v>
      </c>
      <c r="D111" s="23"/>
      <c r="E111" s="18"/>
      <c r="F111" s="18"/>
      <c r="G111" s="30"/>
      <c r="H111" s="31">
        <v>5</v>
      </c>
      <c r="I111" s="51"/>
      <c r="J111" s="53" t="s">
        <v>613</v>
      </c>
      <c r="K111" s="54"/>
    </row>
    <row r="112" spans="1:11">
      <c r="A112" s="46"/>
      <c r="B112" s="14" t="s">
        <v>729</v>
      </c>
      <c r="C112" s="32">
        <v>2084</v>
      </c>
      <c r="D112" s="23"/>
      <c r="E112" s="18"/>
      <c r="F112" s="18"/>
      <c r="G112" s="30"/>
      <c r="H112" s="31">
        <v>5</v>
      </c>
      <c r="I112" s="51"/>
      <c r="J112" s="55" t="s">
        <v>615</v>
      </c>
      <c r="K112" s="54">
        <f>SUM(C107,C108)</f>
        <v>3950</v>
      </c>
    </row>
    <row r="113" spans="1:11">
      <c r="A113" s="46"/>
      <c r="B113" s="14" t="s">
        <v>730</v>
      </c>
      <c r="C113" s="32"/>
      <c r="D113" s="23"/>
      <c r="E113" s="18"/>
      <c r="F113" s="18"/>
      <c r="G113" s="30">
        <v>190</v>
      </c>
      <c r="H113" s="31">
        <v>8</v>
      </c>
      <c r="I113" s="51"/>
      <c r="J113" s="56" t="s">
        <v>617</v>
      </c>
      <c r="K113" s="54">
        <f>SUM(C164)</f>
        <v>1177.7</v>
      </c>
    </row>
    <row r="114" spans="1:11">
      <c r="A114" s="46">
        <v>45386</v>
      </c>
      <c r="B114" s="14" t="s">
        <v>731</v>
      </c>
      <c r="C114" s="32">
        <v>740.2</v>
      </c>
      <c r="D114" s="23"/>
      <c r="E114" s="18"/>
      <c r="F114" s="18"/>
      <c r="G114" s="30"/>
      <c r="H114" s="31">
        <v>7</v>
      </c>
      <c r="I114" s="51"/>
      <c r="J114" s="57" t="s">
        <v>619</v>
      </c>
      <c r="K114" s="54"/>
    </row>
    <row r="115" spans="1:11">
      <c r="A115" s="46"/>
      <c r="B115" s="14" t="s">
        <v>732</v>
      </c>
      <c r="C115" s="32">
        <v>243</v>
      </c>
      <c r="D115" s="23"/>
      <c r="E115" s="18"/>
      <c r="F115" s="18"/>
      <c r="G115" s="30"/>
      <c r="H115" s="31">
        <v>8</v>
      </c>
      <c r="I115" s="51"/>
      <c r="J115" s="58" t="s">
        <v>621</v>
      </c>
      <c r="K115" s="54">
        <f>SUM(C111,C112)</f>
        <v>10084</v>
      </c>
    </row>
    <row r="116" spans="1:11">
      <c r="A116" s="46"/>
      <c r="B116" s="14" t="s">
        <v>732</v>
      </c>
      <c r="C116" s="32">
        <v>1522.24</v>
      </c>
      <c r="D116" s="23"/>
      <c r="E116" s="18"/>
      <c r="F116" s="18"/>
      <c r="G116" s="30"/>
      <c r="H116" s="31">
        <v>8</v>
      </c>
      <c r="I116" s="51"/>
      <c r="J116" s="54" t="s">
        <v>623</v>
      </c>
      <c r="K116" s="54">
        <f>SUM(C165:D165)</f>
        <v>1130</v>
      </c>
    </row>
    <row r="117" spans="1:11">
      <c r="A117" s="46">
        <v>45388</v>
      </c>
      <c r="B117" s="14" t="s">
        <v>733</v>
      </c>
      <c r="C117" s="32"/>
      <c r="D117" s="23"/>
      <c r="E117" s="18"/>
      <c r="F117" s="18"/>
      <c r="G117" s="30">
        <v>3000</v>
      </c>
      <c r="H117" s="31">
        <v>8</v>
      </c>
      <c r="I117" s="51"/>
      <c r="J117" s="54" t="s">
        <v>625</v>
      </c>
      <c r="K117" s="54"/>
    </row>
    <row r="118" spans="1:11">
      <c r="A118" s="69"/>
      <c r="B118" s="14" t="s">
        <v>734</v>
      </c>
      <c r="C118" s="70">
        <v>600</v>
      </c>
      <c r="D118" s="45"/>
      <c r="E118" s="71"/>
      <c r="F118" s="45"/>
      <c r="G118" s="71"/>
      <c r="H118" s="72">
        <v>8</v>
      </c>
      <c r="I118" s="78"/>
      <c r="J118" s="54" t="s">
        <v>627</v>
      </c>
      <c r="K118" s="54">
        <f>SUM(C128)</f>
        <v>570</v>
      </c>
    </row>
    <row r="119" spans="1:11">
      <c r="A119" s="69"/>
      <c r="B119" s="14" t="s">
        <v>735</v>
      </c>
      <c r="C119" s="71"/>
      <c r="D119" s="45"/>
      <c r="E119" s="71"/>
      <c r="F119" s="45"/>
      <c r="G119" s="70">
        <v>3000</v>
      </c>
      <c r="H119" s="72">
        <v>8</v>
      </c>
      <c r="I119" s="78"/>
      <c r="J119" s="54" t="s">
        <v>629</v>
      </c>
      <c r="K119" s="54">
        <f>SUM(C125)</f>
        <v>15000</v>
      </c>
    </row>
    <row r="120" spans="1:11">
      <c r="A120" s="69"/>
      <c r="B120" s="14" t="s">
        <v>736</v>
      </c>
      <c r="C120" s="70">
        <v>600</v>
      </c>
      <c r="D120" s="45"/>
      <c r="E120" s="71"/>
      <c r="F120" s="45"/>
      <c r="G120" s="71"/>
      <c r="H120" s="72">
        <v>8</v>
      </c>
      <c r="I120" s="78"/>
      <c r="J120" s="54" t="s">
        <v>631</v>
      </c>
      <c r="K120" s="54">
        <f>SUM(C114,C122,C133,D133)</f>
        <v>16455.829999999998</v>
      </c>
    </row>
    <row r="121" spans="1:11">
      <c r="A121" s="69"/>
      <c r="B121" s="72" t="s">
        <v>737</v>
      </c>
      <c r="C121" s="70"/>
      <c r="D121" s="28"/>
      <c r="E121" s="70"/>
      <c r="F121" s="28"/>
      <c r="G121" s="70">
        <v>3500</v>
      </c>
      <c r="H121" s="72">
        <v>10</v>
      </c>
      <c r="I121" s="79"/>
      <c r="J121" s="54" t="s">
        <v>634</v>
      </c>
      <c r="K121" s="54">
        <f>SUM(G109,C110,G113,C115,C116,G117,C118,G119,C120,G126,G127,F129,C130,D131)</f>
        <v>22537.62</v>
      </c>
    </row>
    <row r="122" spans="1:11">
      <c r="A122" s="69"/>
      <c r="B122" s="72" t="s">
        <v>692</v>
      </c>
      <c r="C122" s="70">
        <v>2000</v>
      </c>
      <c r="D122" s="28"/>
      <c r="E122" s="70"/>
      <c r="F122" s="28"/>
      <c r="G122" s="70"/>
      <c r="H122" s="72">
        <v>7</v>
      </c>
      <c r="I122" s="79"/>
      <c r="J122" s="54" t="s">
        <v>636</v>
      </c>
      <c r="K122" s="63">
        <f>SUM(C106,C123,C132)</f>
        <v>3656.19</v>
      </c>
    </row>
    <row r="123" spans="1:11">
      <c r="A123" s="73">
        <v>45389</v>
      </c>
      <c r="B123" s="72" t="s">
        <v>738</v>
      </c>
      <c r="C123" s="70">
        <v>1656.19</v>
      </c>
      <c r="D123" s="28"/>
      <c r="E123" s="70"/>
      <c r="F123" s="28"/>
      <c r="G123" s="70"/>
      <c r="H123" s="72">
        <v>9</v>
      </c>
      <c r="I123" s="79"/>
      <c r="J123" s="54" t="s">
        <v>638</v>
      </c>
      <c r="K123" s="54">
        <f>SUM(G121,G124)</f>
        <v>3880</v>
      </c>
    </row>
    <row r="124" spans="1:11">
      <c r="A124" s="73">
        <v>45394</v>
      </c>
      <c r="B124" s="72" t="s">
        <v>739</v>
      </c>
      <c r="C124" s="70"/>
      <c r="D124" s="28"/>
      <c r="E124" s="70"/>
      <c r="F124" s="28"/>
      <c r="G124" s="70">
        <v>380</v>
      </c>
      <c r="H124" s="72">
        <v>10</v>
      </c>
      <c r="I124" s="79"/>
      <c r="J124" s="62" t="s">
        <v>727</v>
      </c>
      <c r="K124" s="65">
        <f>SUM(K111:K123)</f>
        <v>78441.34</v>
      </c>
    </row>
    <row r="125" spans="1:11">
      <c r="A125" s="73">
        <v>45395</v>
      </c>
      <c r="B125" s="74" t="s">
        <v>740</v>
      </c>
      <c r="C125" s="70">
        <v>15000</v>
      </c>
      <c r="D125" s="28"/>
      <c r="E125" s="70"/>
      <c r="F125" s="28"/>
      <c r="G125" s="70"/>
      <c r="H125" s="72" t="s">
        <v>633</v>
      </c>
      <c r="I125" s="79"/>
      <c r="J125" s="54"/>
      <c r="K125" s="54"/>
    </row>
    <row r="126" spans="1:11">
      <c r="A126" s="75"/>
      <c r="B126" s="74" t="s">
        <v>741</v>
      </c>
      <c r="C126" s="70"/>
      <c r="D126" s="28"/>
      <c r="E126" s="70"/>
      <c r="F126" s="28"/>
      <c r="G126" s="70">
        <v>3600</v>
      </c>
      <c r="H126" s="72">
        <v>8</v>
      </c>
      <c r="I126" s="79"/>
      <c r="J126" s="80"/>
    </row>
    <row r="127" spans="1:11">
      <c r="A127" s="75"/>
      <c r="B127" s="74" t="s">
        <v>742</v>
      </c>
      <c r="C127" s="70"/>
      <c r="D127" s="28"/>
      <c r="E127" s="70"/>
      <c r="F127" s="28"/>
      <c r="G127" s="70">
        <v>3000</v>
      </c>
      <c r="H127" s="72">
        <v>8</v>
      </c>
      <c r="I127" s="79"/>
      <c r="J127" s="80"/>
    </row>
    <row r="128" spans="1:11">
      <c r="A128" s="75"/>
      <c r="B128" s="74" t="s">
        <v>743</v>
      </c>
      <c r="C128" s="70">
        <v>570</v>
      </c>
      <c r="D128" s="28"/>
      <c r="E128" s="70"/>
      <c r="F128" s="28"/>
      <c r="G128" s="70"/>
      <c r="H128" s="72" t="s">
        <v>648</v>
      </c>
      <c r="I128" s="79"/>
      <c r="J128" s="80"/>
    </row>
    <row r="129" spans="1:11">
      <c r="A129" s="73">
        <v>45396</v>
      </c>
      <c r="B129" s="72" t="s">
        <v>744</v>
      </c>
      <c r="C129" s="70"/>
      <c r="D129" s="28"/>
      <c r="E129" s="70"/>
      <c r="F129" s="28">
        <v>200</v>
      </c>
      <c r="G129" s="70"/>
      <c r="H129" s="72">
        <v>8</v>
      </c>
      <c r="I129" s="79"/>
      <c r="J129" s="80"/>
    </row>
    <row r="130" spans="1:11">
      <c r="A130" s="73">
        <v>45402</v>
      </c>
      <c r="B130" s="72" t="s">
        <v>745</v>
      </c>
      <c r="C130" s="70">
        <v>1200</v>
      </c>
      <c r="D130" s="28"/>
      <c r="E130" s="70"/>
      <c r="F130" s="28"/>
      <c r="G130" s="70"/>
      <c r="H130" s="72">
        <v>8</v>
      </c>
      <c r="I130" s="79"/>
      <c r="J130" s="80"/>
    </row>
    <row r="131" spans="1:11">
      <c r="A131" s="75"/>
      <c r="B131" s="72" t="s">
        <v>746</v>
      </c>
      <c r="C131" s="70"/>
      <c r="D131" s="28">
        <v>1200</v>
      </c>
      <c r="E131" s="70"/>
      <c r="F131" s="28"/>
      <c r="G131" s="70"/>
      <c r="H131" s="72">
        <v>8</v>
      </c>
      <c r="I131" s="79"/>
      <c r="J131" s="80"/>
    </row>
    <row r="132" spans="1:11">
      <c r="A132" s="73">
        <v>45405</v>
      </c>
      <c r="B132" s="72" t="s">
        <v>689</v>
      </c>
      <c r="C132" s="70">
        <v>1000</v>
      </c>
      <c r="D132" s="28"/>
      <c r="E132" s="70"/>
      <c r="F132" s="28"/>
      <c r="G132" s="70"/>
      <c r="H132" s="72">
        <v>9</v>
      </c>
      <c r="I132" s="79"/>
      <c r="J132" s="80"/>
    </row>
    <row r="133" spans="1:11">
      <c r="A133" s="73">
        <v>45411</v>
      </c>
      <c r="B133" s="72" t="s">
        <v>747</v>
      </c>
      <c r="C133" s="70">
        <v>10032.9</v>
      </c>
      <c r="D133" s="28">
        <v>3682.73</v>
      </c>
      <c r="E133" s="70"/>
      <c r="F133" s="28"/>
      <c r="G133" s="70"/>
      <c r="H133" s="72">
        <v>7</v>
      </c>
      <c r="I133" s="79"/>
      <c r="J133" s="80"/>
    </row>
    <row r="134" spans="1:11">
      <c r="A134" s="73">
        <v>45412</v>
      </c>
      <c r="B134" s="14" t="s">
        <v>748</v>
      </c>
      <c r="C134" s="32">
        <v>8500</v>
      </c>
      <c r="D134" s="23">
        <v>6500</v>
      </c>
      <c r="E134" s="18"/>
      <c r="F134" s="28"/>
      <c r="G134" s="70"/>
      <c r="H134" s="72">
        <v>6</v>
      </c>
      <c r="I134" s="79"/>
      <c r="J134" s="115"/>
      <c r="K134" s="54"/>
    </row>
    <row r="135" spans="1:11">
      <c r="A135" s="75"/>
      <c r="B135" s="72" t="s">
        <v>749</v>
      </c>
      <c r="C135" s="70">
        <v>6000</v>
      </c>
      <c r="D135" s="28"/>
      <c r="E135" s="70"/>
      <c r="F135" s="28"/>
      <c r="G135" s="70"/>
      <c r="H135" s="72">
        <v>3</v>
      </c>
      <c r="I135" s="79"/>
      <c r="J135" s="115"/>
      <c r="K135" s="54"/>
    </row>
    <row r="136" spans="1:11">
      <c r="A136" s="81" t="s">
        <v>721</v>
      </c>
      <c r="B136" s="82" t="s">
        <v>750</v>
      </c>
      <c r="C136" s="83">
        <f>SUM(C106:C135)</f>
        <v>68550.91</v>
      </c>
      <c r="D136" s="84">
        <f>SUM(D106:D135)</f>
        <v>11382.73</v>
      </c>
      <c r="E136" s="83"/>
      <c r="F136" s="84">
        <f>SUM(F129:F135)</f>
        <v>200</v>
      </c>
      <c r="G136" s="83">
        <f>SUM(G106:G135)</f>
        <v>17000</v>
      </c>
      <c r="H136" s="85"/>
      <c r="I136" s="116">
        <f>SUM(C136:G136)</f>
        <v>97133.64</v>
      </c>
      <c r="J136" s="115"/>
      <c r="K136" s="54"/>
    </row>
    <row r="137" spans="1:11">
      <c r="A137" s="86" t="s">
        <v>751</v>
      </c>
      <c r="B137" s="72"/>
      <c r="C137" s="70"/>
      <c r="D137" s="28"/>
      <c r="E137" s="70"/>
      <c r="F137" s="28"/>
      <c r="G137" s="70"/>
      <c r="H137" s="72"/>
      <c r="I137" s="79"/>
      <c r="J137" s="62" t="s">
        <v>751</v>
      </c>
      <c r="K137" s="54" t="s">
        <v>661</v>
      </c>
    </row>
    <row r="138" spans="1:11">
      <c r="A138" s="73">
        <v>45414</v>
      </c>
      <c r="B138" s="72" t="s">
        <v>752</v>
      </c>
      <c r="C138" s="70">
        <v>976</v>
      </c>
      <c r="D138" s="28"/>
      <c r="E138" s="70"/>
      <c r="F138" s="28"/>
      <c r="G138" s="70"/>
      <c r="H138" s="72">
        <v>7</v>
      </c>
      <c r="I138" s="79"/>
      <c r="J138" s="53" t="s">
        <v>613</v>
      </c>
      <c r="K138" s="54"/>
    </row>
    <row r="139" spans="1:11">
      <c r="A139" s="87"/>
      <c r="B139" s="14" t="s">
        <v>664</v>
      </c>
      <c r="C139" s="17">
        <v>2000</v>
      </c>
      <c r="D139" s="23"/>
      <c r="E139" s="18"/>
      <c r="F139" s="18"/>
      <c r="G139" s="30"/>
      <c r="H139" s="31">
        <v>7</v>
      </c>
      <c r="I139" s="51"/>
      <c r="J139" s="55" t="s">
        <v>615</v>
      </c>
      <c r="K139" s="54"/>
    </row>
    <row r="140" spans="1:11">
      <c r="A140" s="88"/>
      <c r="B140" s="14" t="s">
        <v>753</v>
      </c>
      <c r="C140" s="32"/>
      <c r="D140" s="66"/>
      <c r="E140" s="18"/>
      <c r="F140" s="18"/>
      <c r="G140" s="30">
        <v>20000</v>
      </c>
      <c r="H140" s="31">
        <v>10</v>
      </c>
      <c r="I140" s="51"/>
      <c r="J140" s="56" t="s">
        <v>617</v>
      </c>
      <c r="K140" s="54">
        <f>SUM(C190)</f>
        <v>1500</v>
      </c>
    </row>
    <row r="141" spans="1:11">
      <c r="A141" s="33">
        <v>45420</v>
      </c>
      <c r="B141" s="34" t="s">
        <v>754</v>
      </c>
      <c r="C141" s="89">
        <v>570</v>
      </c>
      <c r="D141" s="89"/>
      <c r="E141" s="89"/>
      <c r="F141" s="89"/>
      <c r="G141" s="89"/>
      <c r="H141" s="43" t="s">
        <v>648</v>
      </c>
      <c r="I141" s="61"/>
      <c r="J141" s="57" t="s">
        <v>619</v>
      </c>
      <c r="K141" s="54"/>
    </row>
    <row r="142" spans="1:11">
      <c r="A142" s="90">
        <v>45421</v>
      </c>
      <c r="B142" s="91" t="s">
        <v>755</v>
      </c>
      <c r="C142" s="92">
        <v>1255</v>
      </c>
      <c r="D142" s="93"/>
      <c r="E142" s="92"/>
      <c r="F142" s="93"/>
      <c r="G142" s="92"/>
      <c r="H142" s="91">
        <v>8</v>
      </c>
      <c r="I142" s="117"/>
      <c r="J142" s="58" t="s">
        <v>621</v>
      </c>
      <c r="K142" s="54"/>
    </row>
    <row r="143" spans="1:11">
      <c r="A143" s="87"/>
      <c r="B143" s="72" t="s">
        <v>756</v>
      </c>
      <c r="C143" s="70">
        <v>2879</v>
      </c>
      <c r="D143" s="28"/>
      <c r="E143" s="70"/>
      <c r="F143" s="28"/>
      <c r="G143" s="70"/>
      <c r="H143" s="72">
        <v>8</v>
      </c>
      <c r="I143" s="78"/>
      <c r="J143" s="54" t="s">
        <v>623</v>
      </c>
      <c r="K143" s="54">
        <f>SUM(C191:D191)</f>
        <v>1000</v>
      </c>
    </row>
    <row r="144" spans="1:11">
      <c r="A144" s="73">
        <v>45423</v>
      </c>
      <c r="B144" s="72" t="s">
        <v>757</v>
      </c>
      <c r="C144" s="70">
        <v>1800</v>
      </c>
      <c r="D144" s="28"/>
      <c r="E144" s="70"/>
      <c r="F144" s="28"/>
      <c r="G144" s="70"/>
      <c r="H144" s="72">
        <v>8</v>
      </c>
      <c r="I144" s="78"/>
      <c r="J144" s="54" t="s">
        <v>625</v>
      </c>
      <c r="K144" s="54"/>
    </row>
    <row r="145" spans="1:11">
      <c r="A145" s="73">
        <v>45441</v>
      </c>
      <c r="B145" s="72" t="s">
        <v>758</v>
      </c>
      <c r="C145" s="70">
        <v>10717.89</v>
      </c>
      <c r="D145" s="28">
        <v>3851.26</v>
      </c>
      <c r="E145" s="70"/>
      <c r="F145" s="28"/>
      <c r="G145" s="70"/>
      <c r="H145" s="72">
        <v>7</v>
      </c>
      <c r="I145" s="78"/>
      <c r="J145" s="54" t="s">
        <v>627</v>
      </c>
      <c r="K145" s="54">
        <f>SUM(C141)</f>
        <v>570</v>
      </c>
    </row>
    <row r="146" spans="1:11">
      <c r="A146" s="73">
        <v>45443</v>
      </c>
      <c r="B146" s="14" t="s">
        <v>748</v>
      </c>
      <c r="C146" s="32">
        <v>8500</v>
      </c>
      <c r="D146" s="23">
        <v>6500</v>
      </c>
      <c r="E146" s="18"/>
      <c r="F146" s="28"/>
      <c r="G146" s="70"/>
      <c r="H146" s="72">
        <v>6</v>
      </c>
      <c r="I146" s="72"/>
      <c r="J146" s="54" t="s">
        <v>629</v>
      </c>
      <c r="K146" s="54"/>
    </row>
    <row r="147" spans="1:11">
      <c r="A147" s="75"/>
      <c r="B147" s="72" t="s">
        <v>749</v>
      </c>
      <c r="C147" s="70">
        <v>6000</v>
      </c>
      <c r="D147" s="28"/>
      <c r="E147" s="70"/>
      <c r="F147" s="28"/>
      <c r="G147" s="70"/>
      <c r="H147" s="72">
        <v>3</v>
      </c>
      <c r="I147" s="72"/>
      <c r="J147" s="54" t="s">
        <v>631</v>
      </c>
      <c r="K147" s="54">
        <f>SUM(C138,C139,C145,D145)</f>
        <v>17545.150000000001</v>
      </c>
    </row>
    <row r="148" spans="1:11">
      <c r="A148" s="94" t="s">
        <v>759</v>
      </c>
      <c r="B148" s="95" t="s">
        <v>750</v>
      </c>
      <c r="C148" s="96">
        <f>SUM(C138:C147)</f>
        <v>34697.89</v>
      </c>
      <c r="D148" s="97">
        <f>SUM(D145:D147)</f>
        <v>10351.26</v>
      </c>
      <c r="E148" s="96"/>
      <c r="F148" s="97"/>
      <c r="G148" s="96">
        <f>SUM(G140:G147)</f>
        <v>20000</v>
      </c>
      <c r="H148" s="98"/>
      <c r="I148" s="118">
        <f>SUM(C148:G148)</f>
        <v>65049.15</v>
      </c>
      <c r="J148" s="54" t="s">
        <v>634</v>
      </c>
      <c r="K148" s="54">
        <f>SUM(C142,C143,C144)</f>
        <v>5934</v>
      </c>
    </row>
    <row r="149" spans="1:11">
      <c r="A149" s="99" t="s">
        <v>760</v>
      </c>
      <c r="B149" s="72"/>
      <c r="C149" s="70"/>
      <c r="D149" s="28"/>
      <c r="E149" s="70"/>
      <c r="F149" s="28"/>
      <c r="G149" s="70"/>
      <c r="H149" s="72"/>
      <c r="I149" s="78"/>
      <c r="J149" s="54" t="s">
        <v>636</v>
      </c>
      <c r="K149" s="63"/>
    </row>
    <row r="150" spans="1:11">
      <c r="A150" s="73">
        <v>45446</v>
      </c>
      <c r="B150" s="72" t="s">
        <v>761</v>
      </c>
      <c r="C150" s="70">
        <v>1036.75</v>
      </c>
      <c r="D150" s="28"/>
      <c r="E150" s="70"/>
      <c r="F150" s="28"/>
      <c r="G150" s="70"/>
      <c r="H150" s="72">
        <v>8</v>
      </c>
      <c r="I150" s="78"/>
      <c r="J150" s="54" t="s">
        <v>638</v>
      </c>
      <c r="K150" s="54">
        <f>SUM(G140)</f>
        <v>20000</v>
      </c>
    </row>
    <row r="151" spans="1:11">
      <c r="A151" s="75"/>
      <c r="B151" s="72" t="s">
        <v>762</v>
      </c>
      <c r="C151" s="70">
        <v>714</v>
      </c>
      <c r="D151" s="28"/>
      <c r="E151" s="70"/>
      <c r="F151" s="28"/>
      <c r="G151" s="70"/>
      <c r="H151" s="72">
        <v>7</v>
      </c>
      <c r="I151" s="78"/>
      <c r="J151" s="62" t="s">
        <v>751</v>
      </c>
      <c r="K151" s="65">
        <f>SUM(K138:K150)</f>
        <v>46549.15</v>
      </c>
    </row>
    <row r="152" spans="1:11">
      <c r="A152" s="73">
        <v>45454</v>
      </c>
      <c r="B152" s="72" t="s">
        <v>763</v>
      </c>
      <c r="C152" s="70">
        <v>2100</v>
      </c>
      <c r="D152" s="28"/>
      <c r="E152" s="70"/>
      <c r="F152" s="28"/>
      <c r="G152" s="70"/>
      <c r="H152" s="72">
        <v>8</v>
      </c>
      <c r="I152" s="78"/>
      <c r="J152" s="54"/>
      <c r="K152" s="54"/>
    </row>
    <row r="153" spans="1:11">
      <c r="A153" s="75"/>
      <c r="B153" s="72" t="s">
        <v>764</v>
      </c>
      <c r="C153" s="70">
        <v>3900</v>
      </c>
      <c r="D153" s="28"/>
      <c r="E153" s="70"/>
      <c r="F153" s="28"/>
      <c r="G153" s="70"/>
      <c r="H153" s="72">
        <v>8</v>
      </c>
      <c r="I153" s="78"/>
    </row>
    <row r="154" spans="1:11">
      <c r="A154" s="73">
        <v>45461</v>
      </c>
      <c r="B154" s="72" t="s">
        <v>692</v>
      </c>
      <c r="C154" s="70">
        <v>2000</v>
      </c>
      <c r="D154" s="28"/>
      <c r="E154" s="70"/>
      <c r="F154" s="28"/>
      <c r="G154" s="70"/>
      <c r="H154" s="72">
        <v>7</v>
      </c>
      <c r="I154" s="78"/>
      <c r="J154" s="62" t="s">
        <v>760</v>
      </c>
      <c r="K154" s="54" t="s">
        <v>661</v>
      </c>
    </row>
    <row r="155" spans="1:11">
      <c r="A155" s="73">
        <v>45463</v>
      </c>
      <c r="B155" s="72" t="s">
        <v>765</v>
      </c>
      <c r="C155" s="70">
        <v>365.5</v>
      </c>
      <c r="D155" s="28"/>
      <c r="E155" s="70"/>
      <c r="F155" s="28"/>
      <c r="G155" s="70"/>
      <c r="H155" s="72">
        <v>1</v>
      </c>
      <c r="I155" s="78"/>
      <c r="J155" s="53" t="s">
        <v>613</v>
      </c>
      <c r="K155" s="54">
        <f>SUM(C155)</f>
        <v>365.5</v>
      </c>
    </row>
    <row r="156" spans="1:11">
      <c r="A156" s="75"/>
      <c r="B156" s="72" t="s">
        <v>766</v>
      </c>
      <c r="C156" s="70">
        <v>570</v>
      </c>
      <c r="D156" s="28"/>
      <c r="E156" s="70"/>
      <c r="F156" s="28"/>
      <c r="G156" s="70"/>
      <c r="H156" s="72" t="s">
        <v>648</v>
      </c>
      <c r="I156" s="78"/>
      <c r="J156" s="55" t="s">
        <v>615</v>
      </c>
      <c r="K156" s="54"/>
    </row>
    <row r="157" spans="1:11">
      <c r="A157" s="73">
        <v>45467</v>
      </c>
      <c r="B157" s="72" t="s">
        <v>767</v>
      </c>
      <c r="C157" s="70">
        <v>610</v>
      </c>
      <c r="D157" s="28"/>
      <c r="E157" s="70"/>
      <c r="F157" s="28"/>
      <c r="G157" s="70"/>
      <c r="H157" s="72">
        <v>8</v>
      </c>
      <c r="I157" s="78"/>
      <c r="J157" s="56" t="s">
        <v>617</v>
      </c>
      <c r="K157" s="54">
        <f>SUM(C160)</f>
        <v>6000</v>
      </c>
    </row>
    <row r="158" spans="1:11">
      <c r="A158" s="73">
        <v>45470</v>
      </c>
      <c r="B158" s="72" t="s">
        <v>768</v>
      </c>
      <c r="C158" s="70">
        <v>2400</v>
      </c>
      <c r="D158" s="28"/>
      <c r="E158" s="70"/>
      <c r="F158" s="28"/>
      <c r="G158" s="70"/>
      <c r="H158" s="72">
        <v>8</v>
      </c>
      <c r="I158" s="78"/>
      <c r="J158" s="57" t="s">
        <v>619</v>
      </c>
      <c r="K158" s="54"/>
    </row>
    <row r="159" spans="1:11">
      <c r="A159" s="73">
        <v>45473</v>
      </c>
      <c r="B159" s="14" t="s">
        <v>748</v>
      </c>
      <c r="C159" s="32">
        <v>8500</v>
      </c>
      <c r="D159" s="23">
        <v>6500</v>
      </c>
      <c r="E159" s="70"/>
      <c r="F159" s="28"/>
      <c r="G159" s="70"/>
      <c r="H159" s="72">
        <v>6</v>
      </c>
      <c r="I159" s="78"/>
      <c r="J159" s="58" t="s">
        <v>621</v>
      </c>
      <c r="K159" s="54"/>
    </row>
    <row r="160" spans="1:11">
      <c r="A160" s="75"/>
      <c r="B160" s="72" t="s">
        <v>749</v>
      </c>
      <c r="C160" s="70">
        <v>6000</v>
      </c>
      <c r="D160" s="28"/>
      <c r="E160" s="70"/>
      <c r="F160" s="28"/>
      <c r="G160" s="70"/>
      <c r="H160" s="72">
        <v>3</v>
      </c>
      <c r="I160" s="78"/>
      <c r="J160" s="54" t="s">
        <v>623</v>
      </c>
      <c r="K160" s="54">
        <f>SUM(C159,D159)</f>
        <v>15000</v>
      </c>
    </row>
    <row r="161" spans="1:11">
      <c r="A161" s="94" t="s">
        <v>760</v>
      </c>
      <c r="B161" s="95" t="s">
        <v>750</v>
      </c>
      <c r="C161" s="96">
        <f>SUM(C150:C160)</f>
        <v>28196.25</v>
      </c>
      <c r="D161" s="97">
        <f>SUM(D159:D160)</f>
        <v>6500</v>
      </c>
      <c r="E161" s="96"/>
      <c r="F161" s="97"/>
      <c r="G161" s="96"/>
      <c r="H161" s="98"/>
      <c r="I161" s="118">
        <f>SUM(C161:H161)</f>
        <v>34696.25</v>
      </c>
      <c r="J161" s="54" t="s">
        <v>625</v>
      </c>
      <c r="K161" s="54"/>
    </row>
    <row r="162" spans="1:11">
      <c r="A162" s="100" t="s">
        <v>769</v>
      </c>
      <c r="B162" s="72"/>
      <c r="C162" s="70"/>
      <c r="D162" s="28"/>
      <c r="E162" s="70"/>
      <c r="F162" s="28"/>
      <c r="G162" s="70"/>
      <c r="H162" s="72"/>
      <c r="I162" s="78"/>
      <c r="J162" s="54" t="s">
        <v>627</v>
      </c>
      <c r="K162" s="54">
        <f>SUM(C156)</f>
        <v>570</v>
      </c>
    </row>
    <row r="163" spans="1:11">
      <c r="A163" s="73">
        <v>45474</v>
      </c>
      <c r="B163" s="72" t="s">
        <v>770</v>
      </c>
      <c r="C163" s="70">
        <v>14412</v>
      </c>
      <c r="D163" s="28">
        <v>1606.54</v>
      </c>
      <c r="E163" s="70"/>
      <c r="F163" s="28"/>
      <c r="G163" s="70"/>
      <c r="H163" s="72">
        <v>7</v>
      </c>
      <c r="I163" s="78"/>
      <c r="J163" s="54" t="s">
        <v>629</v>
      </c>
      <c r="K163" s="54"/>
    </row>
    <row r="164" spans="1:11">
      <c r="A164" s="37">
        <v>45475</v>
      </c>
      <c r="B164" s="14" t="s">
        <v>640</v>
      </c>
      <c r="C164" s="17">
        <v>1177.7</v>
      </c>
      <c r="D164" s="23"/>
      <c r="E164" s="18"/>
      <c r="F164" s="18"/>
      <c r="G164" s="30"/>
      <c r="H164" s="31">
        <v>8</v>
      </c>
      <c r="I164" s="51"/>
      <c r="J164" s="54" t="s">
        <v>631</v>
      </c>
      <c r="K164" s="54">
        <f>SUM(C151,C154)</f>
        <v>2714</v>
      </c>
    </row>
    <row r="165" spans="1:11">
      <c r="A165" s="46"/>
      <c r="B165" s="14" t="s">
        <v>771</v>
      </c>
      <c r="C165" s="32">
        <v>1130</v>
      </c>
      <c r="D165" s="66"/>
      <c r="E165" s="18"/>
      <c r="F165" s="18"/>
      <c r="G165" s="30"/>
      <c r="H165" s="31">
        <v>9</v>
      </c>
      <c r="I165" s="51"/>
      <c r="J165" s="54" t="s">
        <v>634</v>
      </c>
      <c r="K165" s="54">
        <f>SUM(C150,C152,C153,C157,C158)</f>
        <v>10046.75</v>
      </c>
    </row>
    <row r="166" spans="1:11">
      <c r="A166" s="33">
        <v>45476</v>
      </c>
      <c r="B166" s="34" t="s">
        <v>772</v>
      </c>
      <c r="C166" s="89"/>
      <c r="D166" s="89"/>
      <c r="E166" s="89"/>
      <c r="F166" s="89"/>
      <c r="G166" s="89">
        <v>3700</v>
      </c>
      <c r="H166" s="43">
        <v>8</v>
      </c>
      <c r="I166" s="61"/>
      <c r="J166" s="54" t="s">
        <v>636</v>
      </c>
      <c r="K166" s="63"/>
    </row>
    <row r="167" spans="1:11">
      <c r="A167" s="101">
        <v>45477</v>
      </c>
      <c r="B167" s="102" t="s">
        <v>773</v>
      </c>
      <c r="C167" s="103"/>
      <c r="D167" s="104"/>
      <c r="E167" s="103"/>
      <c r="F167" s="104"/>
      <c r="G167" s="103">
        <v>590</v>
      </c>
      <c r="H167" s="102">
        <v>8</v>
      </c>
      <c r="I167" s="119"/>
      <c r="J167" s="54" t="s">
        <v>638</v>
      </c>
      <c r="K167" s="54">
        <f>SUM(G157)</f>
        <v>0</v>
      </c>
    </row>
    <row r="168" spans="1:11">
      <c r="A168" s="37"/>
      <c r="B168" s="74" t="s">
        <v>774</v>
      </c>
      <c r="C168" s="105"/>
      <c r="D168" s="22"/>
      <c r="E168" s="105"/>
      <c r="F168" s="22"/>
      <c r="G168" s="105">
        <v>3550</v>
      </c>
      <c r="H168" s="74">
        <v>8</v>
      </c>
      <c r="I168" s="120"/>
      <c r="J168" s="62" t="s">
        <v>760</v>
      </c>
      <c r="K168" s="65">
        <f>SUM(K155:K167)</f>
        <v>34696.25</v>
      </c>
    </row>
    <row r="169" spans="1:11">
      <c r="A169" s="106"/>
      <c r="B169" s="74" t="s">
        <v>773</v>
      </c>
      <c r="C169" s="105"/>
      <c r="D169" s="22"/>
      <c r="E169" s="105"/>
      <c r="F169" s="22"/>
      <c r="G169" s="105">
        <v>588</v>
      </c>
      <c r="H169" s="74">
        <v>8</v>
      </c>
      <c r="J169" s="120"/>
      <c r="K169" s="54"/>
    </row>
    <row r="170" spans="1:11">
      <c r="A170" s="106"/>
      <c r="B170" s="74" t="s">
        <v>775</v>
      </c>
      <c r="C170" s="105">
        <v>1567</v>
      </c>
      <c r="D170" s="22"/>
      <c r="E170" s="105"/>
      <c r="F170" s="22"/>
      <c r="G170" s="105"/>
      <c r="H170" s="74">
        <v>8</v>
      </c>
      <c r="I170" s="120"/>
    </row>
    <row r="171" spans="1:11">
      <c r="A171" s="107">
        <v>45479</v>
      </c>
      <c r="B171" s="74" t="s">
        <v>776</v>
      </c>
      <c r="C171" s="105"/>
      <c r="D171" s="22"/>
      <c r="E171" s="105"/>
      <c r="F171" s="22"/>
      <c r="G171" s="105">
        <v>3000</v>
      </c>
      <c r="H171" s="74">
        <v>8</v>
      </c>
      <c r="I171" s="120"/>
    </row>
    <row r="172" spans="1:11">
      <c r="A172" s="107">
        <v>45485</v>
      </c>
      <c r="B172" s="74" t="s">
        <v>664</v>
      </c>
      <c r="C172" s="105">
        <v>2000</v>
      </c>
      <c r="D172" s="22"/>
      <c r="E172" s="105"/>
      <c r="F172" s="22"/>
      <c r="G172" s="105"/>
      <c r="H172" s="74">
        <v>7</v>
      </c>
      <c r="I172" s="120"/>
      <c r="J172" s="62" t="s">
        <v>769</v>
      </c>
      <c r="K172" s="54" t="s">
        <v>661</v>
      </c>
    </row>
    <row r="173" spans="1:11">
      <c r="A173" s="106"/>
      <c r="B173" s="74" t="s">
        <v>777</v>
      </c>
      <c r="C173" s="105">
        <v>570</v>
      </c>
      <c r="D173" s="22"/>
      <c r="E173" s="105"/>
      <c r="F173" s="22"/>
      <c r="G173" s="105"/>
      <c r="H173" s="74" t="s">
        <v>648</v>
      </c>
      <c r="I173" s="120"/>
      <c r="J173" s="53" t="s">
        <v>613</v>
      </c>
      <c r="K173" s="54"/>
    </row>
    <row r="174" spans="1:11">
      <c r="A174" s="107">
        <v>45497</v>
      </c>
      <c r="B174" s="74" t="s">
        <v>778</v>
      </c>
      <c r="C174" s="105">
        <v>923.6</v>
      </c>
      <c r="D174" s="22"/>
      <c r="E174" s="105"/>
      <c r="F174" s="22"/>
      <c r="G174" s="105"/>
      <c r="H174" s="74">
        <v>7</v>
      </c>
      <c r="I174" s="120"/>
      <c r="J174" s="55" t="s">
        <v>615</v>
      </c>
      <c r="K174" s="54"/>
    </row>
    <row r="175" spans="1:11">
      <c r="A175" s="106"/>
      <c r="B175" s="74" t="s">
        <v>779</v>
      </c>
      <c r="C175" s="105">
        <v>59</v>
      </c>
      <c r="D175" s="22"/>
      <c r="E175" s="105"/>
      <c r="F175" s="22"/>
      <c r="G175" s="105"/>
      <c r="H175" s="74">
        <v>8</v>
      </c>
      <c r="I175" s="120"/>
      <c r="J175" s="56" t="s">
        <v>617</v>
      </c>
      <c r="K175" s="54">
        <f>SUM(C182)</f>
        <v>6000</v>
      </c>
    </row>
    <row r="176" spans="1:11">
      <c r="A176" s="107">
        <v>45498</v>
      </c>
      <c r="B176" s="74" t="s">
        <v>779</v>
      </c>
      <c r="C176" s="105">
        <v>1117</v>
      </c>
      <c r="D176" s="22"/>
      <c r="E176" s="105"/>
      <c r="F176" s="22"/>
      <c r="G176" s="105"/>
      <c r="H176" s="74">
        <v>8</v>
      </c>
      <c r="I176" s="120"/>
      <c r="J176" s="57" t="s">
        <v>619</v>
      </c>
      <c r="K176" s="54"/>
    </row>
    <row r="177" spans="1:11">
      <c r="A177" s="106"/>
      <c r="B177" s="74" t="s">
        <v>780</v>
      </c>
      <c r="C177" s="105">
        <v>1200</v>
      </c>
      <c r="D177" s="22"/>
      <c r="E177" s="105"/>
      <c r="F177" s="22"/>
      <c r="G177" s="105"/>
      <c r="H177" s="74">
        <v>8</v>
      </c>
      <c r="I177" s="120"/>
      <c r="J177" s="58" t="s">
        <v>621</v>
      </c>
      <c r="K177" s="54"/>
    </row>
    <row r="178" spans="1:11">
      <c r="A178" s="107">
        <v>45502</v>
      </c>
      <c r="B178" s="74" t="s">
        <v>640</v>
      </c>
      <c r="C178" s="105">
        <v>592</v>
      </c>
      <c r="D178" s="22"/>
      <c r="E178" s="105"/>
      <c r="F178" s="22"/>
      <c r="G178" s="105"/>
      <c r="H178" s="74">
        <v>8</v>
      </c>
      <c r="I178" s="120"/>
      <c r="J178" s="54" t="s">
        <v>623</v>
      </c>
      <c r="K178" s="54">
        <f>SUM(C181,D181)</f>
        <v>15000</v>
      </c>
    </row>
    <row r="179" spans="1:11">
      <c r="A179" s="107">
        <v>45504</v>
      </c>
      <c r="B179" s="74" t="s">
        <v>781</v>
      </c>
      <c r="C179" s="105">
        <v>119</v>
      </c>
      <c r="D179" s="22"/>
      <c r="E179" s="105"/>
      <c r="F179" s="22"/>
      <c r="G179" s="105"/>
      <c r="H179" s="74">
        <v>8</v>
      </c>
      <c r="I179" s="120"/>
      <c r="J179" s="54" t="s">
        <v>625</v>
      </c>
      <c r="K179" s="54"/>
    </row>
    <row r="180" spans="1:11">
      <c r="A180" s="106"/>
      <c r="B180" s="74" t="s">
        <v>782</v>
      </c>
      <c r="C180" s="105">
        <v>12669.01</v>
      </c>
      <c r="D180" s="22">
        <v>1229.44</v>
      </c>
      <c r="E180" s="105"/>
      <c r="F180" s="22"/>
      <c r="G180" s="105"/>
      <c r="H180" s="74">
        <v>7</v>
      </c>
      <c r="I180" s="120"/>
      <c r="J180" s="54" t="s">
        <v>627</v>
      </c>
      <c r="K180" s="54">
        <f>SUM(C173)</f>
        <v>570</v>
      </c>
    </row>
    <row r="181" spans="1:11">
      <c r="A181" s="106"/>
      <c r="B181" s="14" t="s">
        <v>783</v>
      </c>
      <c r="C181" s="32">
        <v>8500</v>
      </c>
      <c r="D181" s="23">
        <v>6500</v>
      </c>
      <c r="E181" s="70"/>
      <c r="F181" s="28"/>
      <c r="G181" s="70"/>
      <c r="H181" s="72">
        <v>6</v>
      </c>
      <c r="I181" s="120"/>
      <c r="J181" s="54" t="s">
        <v>629</v>
      </c>
      <c r="K181" s="54"/>
    </row>
    <row r="182" spans="1:11">
      <c r="B182" s="72" t="s">
        <v>749</v>
      </c>
      <c r="C182" s="70">
        <v>6000</v>
      </c>
      <c r="D182" s="28"/>
      <c r="E182" s="70"/>
      <c r="F182" s="28"/>
      <c r="G182" s="70"/>
      <c r="H182" s="72">
        <v>3</v>
      </c>
      <c r="I182" s="120"/>
      <c r="J182" s="54" t="s">
        <v>631</v>
      </c>
      <c r="K182" s="54">
        <f>SUM(C163,D163,C172,C174,C180,D180)</f>
        <v>32840.590000000004</v>
      </c>
    </row>
    <row r="183" spans="1:11">
      <c r="A183" s="108" t="s">
        <v>769</v>
      </c>
      <c r="B183" s="109" t="s">
        <v>750</v>
      </c>
      <c r="C183" s="110">
        <f>SUM(C163:C182)</f>
        <v>52036.31</v>
      </c>
      <c r="D183" s="111">
        <f>SUM(D163:D182)</f>
        <v>9335.98</v>
      </c>
      <c r="E183" s="110"/>
      <c r="F183" s="111"/>
      <c r="G183" s="112">
        <f>SUM(G163:G182)</f>
        <v>11428</v>
      </c>
      <c r="H183" s="109"/>
      <c r="I183" s="121">
        <f>SUM(C183:H183)</f>
        <v>72800.289999999994</v>
      </c>
      <c r="J183" s="54" t="s">
        <v>634</v>
      </c>
      <c r="K183" s="54">
        <f>SUM(C164,G166,G167,G168,G169,C170,G171,C175,C176,C177,C178,C179)</f>
        <v>17259.7</v>
      </c>
    </row>
    <row r="184" spans="1:11">
      <c r="A184" s="113" t="s">
        <v>784</v>
      </c>
      <c r="B184" s="74"/>
      <c r="C184" s="105"/>
      <c r="D184" s="22"/>
      <c r="E184" s="105"/>
      <c r="F184" s="22"/>
      <c r="G184" s="105"/>
      <c r="H184" s="74"/>
      <c r="I184" s="120"/>
      <c r="J184" s="54" t="s">
        <v>636</v>
      </c>
      <c r="K184" s="63">
        <f>SUM(C165,)</f>
        <v>1130</v>
      </c>
    </row>
    <row r="185" spans="1:11">
      <c r="A185" s="107">
        <v>45511</v>
      </c>
      <c r="B185" s="74" t="s">
        <v>785</v>
      </c>
      <c r="C185" s="105">
        <v>86</v>
      </c>
      <c r="D185" s="22"/>
      <c r="E185" s="105"/>
      <c r="F185" s="22"/>
      <c r="G185" s="105"/>
      <c r="H185" s="74">
        <v>8</v>
      </c>
      <c r="I185" s="120"/>
      <c r="J185" s="54" t="s">
        <v>638</v>
      </c>
      <c r="K185" s="54"/>
    </row>
    <row r="186" spans="1:11">
      <c r="A186" s="106"/>
      <c r="B186" s="74" t="s">
        <v>786</v>
      </c>
      <c r="C186" s="105">
        <v>85</v>
      </c>
      <c r="D186" s="22"/>
      <c r="E186" s="105"/>
      <c r="F186" s="22"/>
      <c r="G186" s="105"/>
      <c r="H186" s="74">
        <v>8</v>
      </c>
      <c r="I186" s="120"/>
      <c r="J186" s="62" t="s">
        <v>769</v>
      </c>
      <c r="K186" s="65">
        <f>SUM(K173:K185)</f>
        <v>72800.290000000008</v>
      </c>
    </row>
    <row r="187" spans="1:11">
      <c r="A187" s="106"/>
      <c r="B187" s="74" t="s">
        <v>786</v>
      </c>
      <c r="C187" s="105">
        <v>74</v>
      </c>
      <c r="D187" s="22"/>
      <c r="E187" s="105"/>
      <c r="F187" s="22"/>
      <c r="G187" s="105"/>
      <c r="H187" s="74">
        <v>8</v>
      </c>
      <c r="I187" s="120"/>
      <c r="J187" s="54"/>
      <c r="K187" s="54"/>
    </row>
    <row r="188" spans="1:11">
      <c r="A188" s="69"/>
      <c r="B188" s="74" t="s">
        <v>787</v>
      </c>
      <c r="C188" s="105">
        <v>1200</v>
      </c>
      <c r="D188" s="22"/>
      <c r="E188" s="105"/>
      <c r="F188" s="22"/>
      <c r="G188" s="105"/>
      <c r="H188" s="74">
        <v>8</v>
      </c>
      <c r="I188" s="78"/>
    </row>
    <row r="189" spans="1:11">
      <c r="A189" s="37"/>
      <c r="B189" s="74" t="s">
        <v>788</v>
      </c>
      <c r="C189" s="105">
        <v>714</v>
      </c>
      <c r="D189" s="22"/>
      <c r="E189" s="105"/>
      <c r="F189" s="22"/>
      <c r="G189" s="105"/>
      <c r="H189" s="74">
        <v>7</v>
      </c>
      <c r="I189" s="51"/>
    </row>
    <row r="190" spans="1:11">
      <c r="A190" s="46">
        <v>45517</v>
      </c>
      <c r="B190" s="14" t="s">
        <v>789</v>
      </c>
      <c r="C190" s="17">
        <v>1500</v>
      </c>
      <c r="D190" s="23"/>
      <c r="E190" s="18"/>
      <c r="F190" s="18"/>
      <c r="G190" s="30"/>
      <c r="H190" s="31" t="s">
        <v>680</v>
      </c>
      <c r="I190" s="51"/>
    </row>
    <row r="191" spans="1:11">
      <c r="A191" s="33">
        <v>45521</v>
      </c>
      <c r="B191" s="14" t="s">
        <v>771</v>
      </c>
      <c r="C191" s="32">
        <v>1000</v>
      </c>
      <c r="D191" s="66"/>
      <c r="E191" s="18"/>
      <c r="F191" s="18"/>
      <c r="G191" s="30"/>
      <c r="H191" s="31">
        <v>9</v>
      </c>
      <c r="I191" s="61"/>
    </row>
    <row r="192" spans="1:11">
      <c r="A192" s="114">
        <v>45524</v>
      </c>
      <c r="B192" s="34" t="s">
        <v>790</v>
      </c>
      <c r="C192" s="89">
        <v>570</v>
      </c>
      <c r="D192" s="89"/>
      <c r="E192" s="89"/>
      <c r="F192" s="89"/>
      <c r="G192" s="89"/>
      <c r="H192" s="43" t="s">
        <v>648</v>
      </c>
      <c r="I192" s="119"/>
    </row>
    <row r="193" spans="1:11">
      <c r="A193" s="37"/>
      <c r="B193" s="102" t="s">
        <v>692</v>
      </c>
      <c r="C193" s="103">
        <v>2000</v>
      </c>
      <c r="D193" s="104"/>
      <c r="E193" s="103"/>
      <c r="F193" s="104"/>
      <c r="G193" s="103"/>
      <c r="H193" s="102">
        <v>7</v>
      </c>
      <c r="I193" s="120"/>
      <c r="J193" s="62" t="s">
        <v>784</v>
      </c>
      <c r="K193" s="54" t="s">
        <v>661</v>
      </c>
    </row>
    <row r="194" spans="1:11">
      <c r="A194" s="107">
        <v>45533</v>
      </c>
      <c r="B194" s="74" t="s">
        <v>791</v>
      </c>
      <c r="C194" s="105">
        <v>140</v>
      </c>
      <c r="D194" s="22"/>
      <c r="E194" s="105"/>
      <c r="F194" s="22"/>
      <c r="G194" s="105"/>
      <c r="H194" s="74">
        <v>8</v>
      </c>
      <c r="I194" s="120"/>
      <c r="J194" s="53" t="s">
        <v>613</v>
      </c>
      <c r="K194" s="54"/>
    </row>
    <row r="195" spans="1:11">
      <c r="A195" s="107">
        <v>45534</v>
      </c>
      <c r="B195" s="74" t="s">
        <v>792</v>
      </c>
      <c r="C195" s="105">
        <v>13306.47</v>
      </c>
      <c r="D195" s="22">
        <v>1596.47</v>
      </c>
      <c r="E195" s="105"/>
      <c r="F195" s="22"/>
      <c r="G195" s="105"/>
      <c r="H195" s="74">
        <v>7</v>
      </c>
      <c r="I195" s="120"/>
      <c r="J195" s="55" t="s">
        <v>615</v>
      </c>
      <c r="K195" s="54"/>
    </row>
    <row r="196" spans="1:11">
      <c r="A196" s="107">
        <v>45535</v>
      </c>
      <c r="B196" s="74" t="s">
        <v>793</v>
      </c>
      <c r="C196" s="105"/>
      <c r="D196" s="22">
        <v>1035</v>
      </c>
      <c r="E196" s="105"/>
      <c r="F196" s="22"/>
      <c r="G196" s="105"/>
      <c r="H196" s="74">
        <v>8</v>
      </c>
      <c r="I196" s="120"/>
      <c r="J196" s="56" t="s">
        <v>617</v>
      </c>
      <c r="K196" s="54">
        <f>SUM(C199)</f>
        <v>6000</v>
      </c>
    </row>
    <row r="197" spans="1:11">
      <c r="A197" s="69"/>
      <c r="B197" s="74" t="s">
        <v>793</v>
      </c>
      <c r="C197" s="105"/>
      <c r="D197" s="22">
        <v>1360</v>
      </c>
      <c r="E197" s="105"/>
      <c r="F197" s="22"/>
      <c r="G197" s="105"/>
      <c r="H197" s="74">
        <v>8</v>
      </c>
      <c r="I197" s="120"/>
      <c r="J197" s="57" t="s">
        <v>619</v>
      </c>
      <c r="K197" s="54"/>
    </row>
    <row r="198" spans="1:11">
      <c r="A198" s="69"/>
      <c r="B198" s="74" t="s">
        <v>794</v>
      </c>
      <c r="C198" s="105"/>
      <c r="D198" s="22">
        <v>1000</v>
      </c>
      <c r="E198" s="105"/>
      <c r="F198" s="22"/>
      <c r="G198" s="105"/>
      <c r="H198" s="74">
        <v>8</v>
      </c>
      <c r="I198" s="120"/>
      <c r="J198" s="58" t="s">
        <v>621</v>
      </c>
      <c r="K198" s="54"/>
    </row>
    <row r="199" spans="1:11">
      <c r="A199" s="69"/>
      <c r="B199" s="74" t="s">
        <v>749</v>
      </c>
      <c r="C199" s="105">
        <v>6000</v>
      </c>
      <c r="D199" s="22"/>
      <c r="E199" s="105"/>
      <c r="F199" s="22"/>
      <c r="G199" s="105"/>
      <c r="H199" s="74">
        <v>3</v>
      </c>
      <c r="I199" s="120"/>
      <c r="J199" s="54" t="s">
        <v>623</v>
      </c>
      <c r="K199" s="54">
        <f>SUM(C200,D200)</f>
        <v>15000</v>
      </c>
    </row>
    <row r="200" spans="1:11">
      <c r="A200" s="69"/>
      <c r="B200" s="74" t="s">
        <v>795</v>
      </c>
      <c r="C200" s="105">
        <v>8500</v>
      </c>
      <c r="D200" s="22">
        <v>6500</v>
      </c>
      <c r="E200" s="105"/>
      <c r="F200" s="22"/>
      <c r="G200" s="105"/>
      <c r="H200" s="74">
        <v>6</v>
      </c>
      <c r="I200" s="120"/>
      <c r="J200" s="54" t="s">
        <v>625</v>
      </c>
      <c r="K200" s="54">
        <f>SUM(C190)</f>
        <v>1500</v>
      </c>
    </row>
    <row r="201" spans="1:11">
      <c r="A201" s="100" t="s">
        <v>784</v>
      </c>
      <c r="B201" s="122" t="s">
        <v>796</v>
      </c>
      <c r="C201" s="123">
        <f>SUM(C185:C200)</f>
        <v>35175.47</v>
      </c>
      <c r="D201" s="124">
        <f>SUM(D195:D200)</f>
        <v>11491.470000000001</v>
      </c>
      <c r="E201" s="123"/>
      <c r="F201" s="124"/>
      <c r="G201" s="123"/>
      <c r="H201" s="122"/>
      <c r="I201" s="118">
        <f>SUM(C201,D201)</f>
        <v>46666.94</v>
      </c>
      <c r="J201" s="54" t="s">
        <v>627</v>
      </c>
      <c r="K201" s="54">
        <f>SUM(C192)</f>
        <v>570</v>
      </c>
    </row>
    <row r="202" spans="1:11">
      <c r="A202" s="113" t="s">
        <v>797</v>
      </c>
      <c r="B202" s="74"/>
      <c r="C202" s="105"/>
      <c r="D202" s="22"/>
      <c r="E202" s="105"/>
      <c r="F202" s="22"/>
      <c r="G202" s="105"/>
      <c r="H202" s="74"/>
      <c r="I202" s="120"/>
      <c r="J202" s="54" t="s">
        <v>629</v>
      </c>
      <c r="K202" s="54"/>
    </row>
    <row r="203" spans="1:11">
      <c r="A203" s="107">
        <v>45537</v>
      </c>
      <c r="B203" s="125" t="s">
        <v>798</v>
      </c>
      <c r="C203" s="126">
        <v>820</v>
      </c>
      <c r="D203" s="125"/>
      <c r="E203" s="126"/>
      <c r="F203" s="125"/>
      <c r="G203" s="126"/>
      <c r="H203" s="127">
        <v>8</v>
      </c>
      <c r="I203" s="146"/>
      <c r="J203" s="54" t="s">
        <v>631</v>
      </c>
      <c r="K203" s="54">
        <f>SUM(C189,C193,C195,D195)</f>
        <v>17616.939999999999</v>
      </c>
    </row>
    <row r="204" spans="1:11">
      <c r="A204" s="107">
        <v>45540</v>
      </c>
      <c r="B204" s="125" t="s">
        <v>799</v>
      </c>
      <c r="C204" s="126">
        <v>550</v>
      </c>
      <c r="D204" s="125"/>
      <c r="E204" s="126"/>
      <c r="F204" s="125"/>
      <c r="G204" s="126"/>
      <c r="H204" s="127">
        <v>8</v>
      </c>
      <c r="I204" s="146"/>
      <c r="J204" s="54" t="s">
        <v>634</v>
      </c>
      <c r="K204" s="54">
        <f>SUM(C185,C186,C187,C188,C194,D196,D197,D198)</f>
        <v>4980</v>
      </c>
    </row>
    <row r="205" spans="1:11">
      <c r="A205" s="107">
        <v>45541</v>
      </c>
      <c r="B205" s="125" t="s">
        <v>780</v>
      </c>
      <c r="C205" s="126">
        <v>1200</v>
      </c>
      <c r="D205" s="125"/>
      <c r="E205" s="126"/>
      <c r="F205" s="125"/>
      <c r="G205" s="126"/>
      <c r="H205" s="127">
        <v>8</v>
      </c>
      <c r="I205" s="146"/>
      <c r="J205" s="54" t="s">
        <v>636</v>
      </c>
      <c r="K205" s="63">
        <f>SUM(C191)</f>
        <v>1000</v>
      </c>
    </row>
    <row r="206" spans="1:11">
      <c r="A206" s="107">
        <v>45546</v>
      </c>
      <c r="B206" s="125" t="s">
        <v>800</v>
      </c>
      <c r="C206" s="126">
        <v>714</v>
      </c>
      <c r="D206" s="125"/>
      <c r="E206" s="126"/>
      <c r="F206" s="125"/>
      <c r="G206" s="126"/>
      <c r="H206" s="127">
        <v>7</v>
      </c>
      <c r="I206" s="146"/>
      <c r="J206" s="54" t="s">
        <v>638</v>
      </c>
      <c r="K206" s="54"/>
    </row>
    <row r="207" spans="1:11">
      <c r="A207" s="107">
        <v>45557</v>
      </c>
      <c r="B207" s="125" t="s">
        <v>801</v>
      </c>
      <c r="C207" s="126"/>
      <c r="D207" s="125">
        <v>393</v>
      </c>
      <c r="E207" s="126"/>
      <c r="F207" s="125"/>
      <c r="G207" s="126"/>
      <c r="H207" s="127">
        <v>10</v>
      </c>
      <c r="I207" s="146"/>
      <c r="J207" s="62" t="s">
        <v>784</v>
      </c>
      <c r="K207" s="65">
        <f>SUM(K194:K206)</f>
        <v>46666.94</v>
      </c>
    </row>
    <row r="208" spans="1:11">
      <c r="A208" s="107"/>
      <c r="B208" s="125" t="s">
        <v>664</v>
      </c>
      <c r="C208" s="126">
        <v>2000</v>
      </c>
      <c r="D208" s="125"/>
      <c r="E208" s="126"/>
      <c r="F208" s="125"/>
      <c r="G208" s="126"/>
      <c r="H208" s="127">
        <v>7</v>
      </c>
      <c r="I208" s="146"/>
      <c r="J208" s="54"/>
      <c r="K208" s="54"/>
    </row>
    <row r="209" spans="1:11">
      <c r="A209" s="107">
        <v>45558</v>
      </c>
      <c r="B209" s="125" t="s">
        <v>802</v>
      </c>
      <c r="C209" s="126">
        <v>570</v>
      </c>
      <c r="D209" s="125"/>
      <c r="E209" s="126"/>
      <c r="F209" s="125"/>
      <c r="G209" s="126"/>
      <c r="H209" s="127" t="s">
        <v>648</v>
      </c>
      <c r="I209" s="146"/>
      <c r="J209" s="54"/>
      <c r="K209" s="54"/>
    </row>
    <row r="210" spans="1:11">
      <c r="A210" s="107">
        <v>45565</v>
      </c>
      <c r="B210" s="125" t="s">
        <v>803</v>
      </c>
      <c r="C210" s="126">
        <v>13694.05</v>
      </c>
      <c r="D210" s="125">
        <v>2354.58</v>
      </c>
      <c r="E210" s="126"/>
      <c r="F210" s="125"/>
      <c r="G210" s="126"/>
      <c r="H210" s="127">
        <v>7</v>
      </c>
      <c r="I210" s="146"/>
      <c r="J210" s="62" t="s">
        <v>797</v>
      </c>
      <c r="K210" s="54" t="s">
        <v>661</v>
      </c>
    </row>
    <row r="211" spans="1:11">
      <c r="A211" s="107"/>
      <c r="B211" s="125" t="s">
        <v>804</v>
      </c>
      <c r="C211" s="126">
        <v>15.6</v>
      </c>
      <c r="D211" s="125"/>
      <c r="E211" s="126"/>
      <c r="F211" s="125"/>
      <c r="G211" s="126"/>
      <c r="H211" s="127">
        <v>7</v>
      </c>
      <c r="I211" s="146"/>
      <c r="J211" s="53" t="s">
        <v>613</v>
      </c>
      <c r="K211" s="54"/>
    </row>
    <row r="212" spans="1:11">
      <c r="A212" s="107"/>
      <c r="B212" s="125" t="s">
        <v>805</v>
      </c>
      <c r="C212" s="126"/>
      <c r="D212" s="125"/>
      <c r="E212" s="126"/>
      <c r="F212" s="125">
        <v>15.6</v>
      </c>
      <c r="G212" s="126"/>
      <c r="H212" s="127">
        <v>7</v>
      </c>
      <c r="I212" s="146"/>
      <c r="J212" s="55" t="s">
        <v>615</v>
      </c>
      <c r="K212" s="54"/>
    </row>
    <row r="213" spans="1:11">
      <c r="A213" s="128"/>
      <c r="B213" s="125" t="s">
        <v>806</v>
      </c>
      <c r="C213" s="126">
        <v>6000</v>
      </c>
      <c r="D213" s="125"/>
      <c r="E213" s="126"/>
      <c r="F213" s="125"/>
      <c r="G213" s="126"/>
      <c r="H213" s="127">
        <v>3</v>
      </c>
      <c r="I213" s="146"/>
      <c r="J213" s="56" t="s">
        <v>617</v>
      </c>
      <c r="K213" s="54">
        <f>SUM(C213)</f>
        <v>6000</v>
      </c>
    </row>
    <row r="214" spans="1:11">
      <c r="A214" s="128"/>
      <c r="B214" s="125" t="s">
        <v>807</v>
      </c>
      <c r="C214" s="105">
        <v>8500</v>
      </c>
      <c r="D214" s="22">
        <v>6500</v>
      </c>
      <c r="E214" s="126"/>
      <c r="F214" s="125"/>
      <c r="G214" s="126"/>
      <c r="H214" s="127">
        <v>6</v>
      </c>
      <c r="I214" s="146"/>
      <c r="J214" s="57" t="s">
        <v>619</v>
      </c>
      <c r="K214" s="54"/>
    </row>
    <row r="215" spans="1:11">
      <c r="A215" s="129" t="s">
        <v>797</v>
      </c>
      <c r="B215" s="130" t="s">
        <v>750</v>
      </c>
      <c r="C215" s="131">
        <f>SUM(C203:C214)</f>
        <v>34063.649999999994</v>
      </c>
      <c r="D215" s="130">
        <f>SUM(D203:D214)</f>
        <v>9247.58</v>
      </c>
      <c r="E215" s="131"/>
      <c r="F215" s="130">
        <f>SUM(F212:F214)</f>
        <v>15.6</v>
      </c>
      <c r="G215" s="131"/>
      <c r="H215" s="130"/>
      <c r="I215" s="147">
        <f>SUM(C215:H215)</f>
        <v>43326.829999999994</v>
      </c>
      <c r="J215" s="58" t="s">
        <v>621</v>
      </c>
      <c r="K215" s="54"/>
    </row>
    <row r="216" spans="1:11">
      <c r="A216" s="132" t="s">
        <v>808</v>
      </c>
      <c r="B216" s="18"/>
      <c r="C216" s="17"/>
      <c r="D216" s="23"/>
      <c r="E216" s="18"/>
      <c r="F216" s="18"/>
      <c r="G216" s="30"/>
      <c r="H216" s="30"/>
      <c r="I216" s="51"/>
      <c r="J216" s="54" t="s">
        <v>623</v>
      </c>
      <c r="K216" s="54">
        <f>SUM(C214,D214)</f>
        <v>15000</v>
      </c>
    </row>
    <row r="217" spans="1:11">
      <c r="A217" s="107">
        <v>45566</v>
      </c>
      <c r="B217" s="18" t="s">
        <v>809</v>
      </c>
      <c r="C217" s="17"/>
      <c r="D217" s="23">
        <v>2525</v>
      </c>
      <c r="E217" s="18"/>
      <c r="F217" s="18"/>
      <c r="G217" s="30"/>
      <c r="H217" s="31">
        <v>10</v>
      </c>
      <c r="I217" s="51"/>
      <c r="J217" s="54" t="s">
        <v>625</v>
      </c>
      <c r="K217" s="54">
        <f>SUM(C207)</f>
        <v>0</v>
      </c>
    </row>
    <row r="218" spans="1:11">
      <c r="A218" s="107">
        <v>45572</v>
      </c>
      <c r="B218" s="18" t="s">
        <v>810</v>
      </c>
      <c r="C218" s="32">
        <v>714</v>
      </c>
      <c r="D218" s="23"/>
      <c r="E218" s="18"/>
      <c r="F218" s="18"/>
      <c r="G218" s="30"/>
      <c r="H218" s="31">
        <v>7</v>
      </c>
      <c r="I218" s="51"/>
      <c r="J218" s="54" t="s">
        <v>627</v>
      </c>
      <c r="K218" s="54">
        <f>SUM(C209)</f>
        <v>570</v>
      </c>
    </row>
    <row r="219" spans="1:11">
      <c r="A219" s="107"/>
      <c r="B219" s="18" t="s">
        <v>811</v>
      </c>
      <c r="C219" s="32"/>
      <c r="D219" s="23"/>
      <c r="E219" s="18"/>
      <c r="F219" s="18"/>
      <c r="G219" s="30">
        <v>6000</v>
      </c>
      <c r="H219" s="31">
        <v>10</v>
      </c>
      <c r="I219" s="51"/>
      <c r="J219" s="54" t="s">
        <v>629</v>
      </c>
      <c r="K219" s="54"/>
    </row>
    <row r="220" spans="1:11">
      <c r="A220" s="107">
        <v>45573</v>
      </c>
      <c r="B220" s="125" t="s">
        <v>812</v>
      </c>
      <c r="C220" s="126"/>
      <c r="D220" s="23">
        <v>1054</v>
      </c>
      <c r="E220" s="126"/>
      <c r="F220" s="125"/>
      <c r="G220" s="126"/>
      <c r="H220" s="127">
        <v>10</v>
      </c>
      <c r="I220" s="146"/>
      <c r="J220" s="54" t="s">
        <v>631</v>
      </c>
      <c r="K220" s="54">
        <f>SUM(C208,C210,D210,C211,F212,C206)</f>
        <v>18793.829999999994</v>
      </c>
    </row>
    <row r="221" spans="1:11">
      <c r="A221" s="107">
        <v>45575</v>
      </c>
      <c r="B221" s="125" t="s">
        <v>645</v>
      </c>
      <c r="C221" s="126">
        <v>1000</v>
      </c>
      <c r="D221" s="125"/>
      <c r="E221" s="126"/>
      <c r="F221" s="125"/>
      <c r="G221" s="126"/>
      <c r="H221" s="127">
        <v>9</v>
      </c>
      <c r="I221" s="146"/>
      <c r="J221" s="54" t="s">
        <v>634</v>
      </c>
      <c r="K221" s="54">
        <f>SUM(C203,C204,C205)</f>
        <v>2570</v>
      </c>
    </row>
    <row r="222" spans="1:11">
      <c r="A222" s="107"/>
      <c r="B222" s="125" t="s">
        <v>813</v>
      </c>
      <c r="C222" s="126"/>
      <c r="D222" s="125">
        <v>300</v>
      </c>
      <c r="E222" s="126"/>
      <c r="F222" s="125"/>
      <c r="G222" s="126"/>
      <c r="H222" s="127">
        <v>8</v>
      </c>
      <c r="I222" s="146"/>
      <c r="J222" s="54" t="s">
        <v>636</v>
      </c>
      <c r="K222" s="63"/>
    </row>
    <row r="223" spans="1:11">
      <c r="A223" s="107"/>
      <c r="B223" s="125" t="s">
        <v>649</v>
      </c>
      <c r="C223" s="126"/>
      <c r="D223" s="125">
        <v>1773.15</v>
      </c>
      <c r="E223" s="126"/>
      <c r="F223" s="125"/>
      <c r="G223" s="126"/>
      <c r="H223" s="127">
        <v>10</v>
      </c>
      <c r="I223" s="146"/>
      <c r="J223" s="54" t="s">
        <v>638</v>
      </c>
      <c r="K223" s="54">
        <f>SUM(D207)</f>
        <v>393</v>
      </c>
    </row>
    <row r="224" spans="1:11">
      <c r="A224" s="107"/>
      <c r="B224" s="72" t="s">
        <v>814</v>
      </c>
      <c r="C224" s="70">
        <v>250</v>
      </c>
      <c r="D224" s="28"/>
      <c r="E224" s="70"/>
      <c r="F224" s="28"/>
      <c r="G224" s="70"/>
      <c r="H224" s="133">
        <v>5</v>
      </c>
      <c r="I224" s="79"/>
      <c r="J224" s="62" t="s">
        <v>784</v>
      </c>
      <c r="K224" s="65">
        <f>SUM(K211:K223)</f>
        <v>43326.829999999994</v>
      </c>
    </row>
    <row r="225" spans="1:11">
      <c r="A225" s="107">
        <v>45577</v>
      </c>
      <c r="B225" s="72" t="s">
        <v>815</v>
      </c>
      <c r="C225" s="70">
        <v>6152</v>
      </c>
      <c r="D225" s="28"/>
      <c r="E225" s="70"/>
      <c r="F225" s="28"/>
      <c r="G225" s="70"/>
      <c r="H225" s="133">
        <v>8</v>
      </c>
      <c r="I225" s="79"/>
      <c r="J225" s="54"/>
      <c r="K225" s="54"/>
    </row>
    <row r="226" spans="1:11">
      <c r="A226" s="107"/>
      <c r="B226" s="72" t="s">
        <v>816</v>
      </c>
      <c r="C226" s="70"/>
      <c r="D226" s="28">
        <v>660</v>
      </c>
      <c r="E226" s="70"/>
      <c r="F226" s="28"/>
      <c r="G226" s="70"/>
      <c r="H226" s="133">
        <v>8</v>
      </c>
      <c r="I226" s="79"/>
      <c r="J226" s="54"/>
      <c r="K226" s="54"/>
    </row>
    <row r="227" spans="1:11">
      <c r="A227" s="107"/>
      <c r="B227" s="72" t="s">
        <v>817</v>
      </c>
      <c r="C227" s="70"/>
      <c r="D227" s="28">
        <v>750</v>
      </c>
      <c r="E227" s="70"/>
      <c r="F227" s="28"/>
      <c r="G227" s="70"/>
      <c r="H227" s="133">
        <v>8</v>
      </c>
      <c r="I227" s="79"/>
      <c r="J227" s="54"/>
      <c r="K227" s="54"/>
    </row>
    <row r="228" spans="1:11">
      <c r="A228" s="107">
        <v>45578</v>
      </c>
      <c r="B228" s="72" t="s">
        <v>775</v>
      </c>
      <c r="C228" s="70">
        <v>1648</v>
      </c>
      <c r="D228" s="28"/>
      <c r="E228" s="70"/>
      <c r="F228" s="28"/>
      <c r="G228" s="70"/>
      <c r="H228" s="133">
        <v>8</v>
      </c>
      <c r="I228" s="79"/>
      <c r="J228" s="54"/>
      <c r="K228" s="54"/>
    </row>
    <row r="229" spans="1:11">
      <c r="A229" s="107"/>
      <c r="B229" s="72" t="s">
        <v>818</v>
      </c>
      <c r="C229" s="70"/>
      <c r="D229" s="28">
        <v>678.1</v>
      </c>
      <c r="E229" s="70"/>
      <c r="F229" s="28"/>
      <c r="G229" s="70"/>
      <c r="H229" s="133">
        <v>8</v>
      </c>
      <c r="I229" s="79"/>
      <c r="J229" s="54"/>
      <c r="K229" s="54"/>
    </row>
    <row r="230" spans="1:11">
      <c r="A230" s="107"/>
      <c r="B230" s="72" t="s">
        <v>819</v>
      </c>
      <c r="C230" s="70"/>
      <c r="D230" s="28">
        <v>166</v>
      </c>
      <c r="E230" s="70"/>
      <c r="F230" s="28"/>
      <c r="G230" s="70"/>
      <c r="H230" s="133">
        <v>8</v>
      </c>
      <c r="I230" s="79"/>
      <c r="J230" s="54"/>
      <c r="K230" s="54"/>
    </row>
    <row r="231" spans="1:11">
      <c r="A231" s="107"/>
      <c r="B231" s="72" t="s">
        <v>820</v>
      </c>
      <c r="C231" s="70"/>
      <c r="D231" s="28">
        <v>1200</v>
      </c>
      <c r="E231" s="70"/>
      <c r="F231" s="28"/>
      <c r="G231" s="70"/>
      <c r="H231" s="133">
        <v>8</v>
      </c>
      <c r="I231" s="79"/>
      <c r="J231" s="54"/>
      <c r="K231" s="63"/>
    </row>
    <row r="232" spans="1:11">
      <c r="A232" s="107">
        <v>45579</v>
      </c>
      <c r="B232" s="72" t="s">
        <v>811</v>
      </c>
      <c r="C232" s="70"/>
      <c r="D232" s="28"/>
      <c r="E232" s="70"/>
      <c r="F232" s="28"/>
      <c r="G232" s="70">
        <v>15000</v>
      </c>
      <c r="H232" s="133">
        <v>10</v>
      </c>
      <c r="I232" s="79"/>
      <c r="J232" s="54"/>
      <c r="K232" s="54"/>
    </row>
    <row r="233" spans="1:11">
      <c r="A233" s="107"/>
      <c r="B233" s="72" t="s">
        <v>821</v>
      </c>
      <c r="C233" s="70"/>
      <c r="D233" s="28"/>
      <c r="E233" s="70"/>
      <c r="F233" s="28"/>
      <c r="G233" s="70">
        <v>10000</v>
      </c>
      <c r="H233" s="133">
        <v>10</v>
      </c>
      <c r="I233" s="79"/>
      <c r="J233" s="62"/>
      <c r="K233" s="65"/>
    </row>
    <row r="234" spans="1:11">
      <c r="A234" s="107"/>
      <c r="B234" s="72" t="s">
        <v>822</v>
      </c>
      <c r="C234" s="70"/>
      <c r="D234" s="28"/>
      <c r="E234" s="70"/>
      <c r="F234" s="28"/>
      <c r="G234" s="70">
        <v>10000</v>
      </c>
      <c r="H234" s="133">
        <v>10</v>
      </c>
      <c r="I234" s="79"/>
      <c r="J234" s="54"/>
      <c r="K234" s="54"/>
    </row>
    <row r="235" spans="1:11">
      <c r="A235" s="107"/>
      <c r="B235" s="72" t="s">
        <v>823</v>
      </c>
      <c r="C235" s="70"/>
      <c r="D235" s="28"/>
      <c r="E235" s="70"/>
      <c r="F235" s="28"/>
      <c r="G235" s="70">
        <v>10000</v>
      </c>
      <c r="H235" s="72">
        <v>10</v>
      </c>
      <c r="I235" s="79"/>
      <c r="J235" s="54"/>
      <c r="K235" s="54"/>
    </row>
    <row r="236" spans="1:11">
      <c r="A236" s="107"/>
      <c r="B236" s="72" t="s">
        <v>824</v>
      </c>
      <c r="C236" s="70"/>
      <c r="D236" s="28"/>
      <c r="E236" s="70"/>
      <c r="F236" s="28"/>
      <c r="G236" s="70">
        <v>10000</v>
      </c>
      <c r="H236" s="72">
        <v>10</v>
      </c>
      <c r="I236" s="79"/>
      <c r="J236" s="54"/>
      <c r="K236" s="54"/>
    </row>
    <row r="237" spans="1:11">
      <c r="A237" s="107"/>
      <c r="B237" s="72" t="s">
        <v>825</v>
      </c>
      <c r="C237" s="70"/>
      <c r="D237" s="28"/>
      <c r="E237" s="70"/>
      <c r="F237" s="28"/>
      <c r="G237" s="70">
        <v>2000</v>
      </c>
      <c r="H237" s="72">
        <v>10</v>
      </c>
      <c r="I237" s="79"/>
      <c r="J237" s="54"/>
      <c r="K237" s="54"/>
    </row>
    <row r="238" spans="1:11">
      <c r="A238" s="107">
        <v>45580</v>
      </c>
      <c r="B238" s="72" t="s">
        <v>826</v>
      </c>
      <c r="C238" s="70"/>
      <c r="D238" s="28"/>
      <c r="E238" s="70"/>
      <c r="F238" s="28"/>
      <c r="G238" s="70">
        <v>30000</v>
      </c>
      <c r="H238" s="72">
        <v>10</v>
      </c>
      <c r="I238" s="79"/>
      <c r="J238" s="54"/>
      <c r="K238" s="54"/>
    </row>
    <row r="239" spans="1:11">
      <c r="A239" s="107">
        <v>45581</v>
      </c>
      <c r="B239" s="72" t="s">
        <v>618</v>
      </c>
      <c r="C239" s="70"/>
      <c r="D239" s="28"/>
      <c r="E239" s="70"/>
      <c r="F239" s="28"/>
      <c r="G239" s="70">
        <v>2001.5</v>
      </c>
      <c r="H239" s="72">
        <v>10</v>
      </c>
      <c r="I239" s="79"/>
    </row>
    <row r="240" spans="1:11">
      <c r="A240" s="107"/>
      <c r="B240" s="72" t="s">
        <v>827</v>
      </c>
      <c r="C240" s="70"/>
      <c r="D240" s="70">
        <v>6900</v>
      </c>
      <c r="E240" s="70"/>
      <c r="F240" s="28"/>
      <c r="H240" s="72">
        <v>10</v>
      </c>
      <c r="I240" s="148"/>
    </row>
    <row r="241" spans="1:12">
      <c r="A241" s="107"/>
      <c r="B241" s="72" t="s">
        <v>828</v>
      </c>
      <c r="C241" s="134">
        <v>6900</v>
      </c>
      <c r="D241" s="135"/>
      <c r="E241" s="135"/>
      <c r="F241" s="134"/>
      <c r="H241" s="136">
        <v>8</v>
      </c>
    </row>
    <row r="242" spans="1:12">
      <c r="A242" s="107">
        <v>45583</v>
      </c>
      <c r="B242" s="137" t="s">
        <v>829</v>
      </c>
      <c r="C242" s="138"/>
      <c r="D242" s="135"/>
      <c r="E242" s="135"/>
      <c r="F242" s="134"/>
      <c r="G242" s="134">
        <v>475</v>
      </c>
      <c r="H242" s="139">
        <v>10</v>
      </c>
    </row>
    <row r="243" spans="1:12">
      <c r="A243" s="107"/>
      <c r="B243" s="140" t="s">
        <v>830</v>
      </c>
      <c r="C243" s="141"/>
      <c r="D243" s="141"/>
      <c r="E243" s="141"/>
      <c r="F243" s="141"/>
      <c r="G243" s="141">
        <v>675</v>
      </c>
      <c r="H243" s="142">
        <v>10</v>
      </c>
      <c r="I243" s="149"/>
    </row>
    <row r="244" spans="1:12">
      <c r="A244" s="107"/>
      <c r="B244" s="91" t="s">
        <v>831</v>
      </c>
      <c r="C244" s="92"/>
      <c r="D244" s="93"/>
      <c r="E244" s="92"/>
      <c r="F244" s="93"/>
      <c r="G244" s="143">
        <v>1690</v>
      </c>
      <c r="H244" s="144">
        <v>10</v>
      </c>
      <c r="I244" s="79"/>
      <c r="J244" s="62" t="s">
        <v>808</v>
      </c>
      <c r="K244" s="54" t="s">
        <v>661</v>
      </c>
    </row>
    <row r="245" spans="1:12">
      <c r="A245" s="107"/>
      <c r="B245" s="72" t="s">
        <v>618</v>
      </c>
      <c r="C245" s="70"/>
      <c r="D245" s="28"/>
      <c r="E245" s="70"/>
      <c r="F245" s="28"/>
      <c r="G245" s="145">
        <v>958</v>
      </c>
      <c r="H245" s="133">
        <v>10</v>
      </c>
      <c r="I245" s="79"/>
      <c r="J245" s="53" t="s">
        <v>613</v>
      </c>
      <c r="K245" s="54"/>
      <c r="L245" s="71"/>
    </row>
    <row r="246" spans="1:12">
      <c r="A246" s="107"/>
      <c r="B246" s="72" t="s">
        <v>832</v>
      </c>
      <c r="C246" s="70"/>
      <c r="D246" s="28"/>
      <c r="E246" s="70"/>
      <c r="F246" s="28"/>
      <c r="G246" s="145">
        <v>958</v>
      </c>
      <c r="H246" s="133">
        <v>10</v>
      </c>
      <c r="I246" s="79"/>
      <c r="J246" s="55" t="s">
        <v>615</v>
      </c>
      <c r="K246" s="54"/>
    </row>
    <row r="247" spans="1:12">
      <c r="A247" s="107"/>
      <c r="B247" s="72" t="s">
        <v>831</v>
      </c>
      <c r="C247" s="70"/>
      <c r="D247" s="28"/>
      <c r="E247" s="70"/>
      <c r="F247" s="28"/>
      <c r="G247" s="145">
        <v>1550</v>
      </c>
      <c r="H247" s="133">
        <v>10</v>
      </c>
      <c r="I247" s="79"/>
      <c r="J247" s="56" t="s">
        <v>617</v>
      </c>
      <c r="K247" s="54">
        <f>SUM(C270)</f>
        <v>6000</v>
      </c>
    </row>
    <row r="248" spans="1:12">
      <c r="A248" s="107"/>
      <c r="B248" s="72" t="s">
        <v>833</v>
      </c>
      <c r="C248" s="70"/>
      <c r="D248" s="28"/>
      <c r="E248" s="70"/>
      <c r="F248" s="28"/>
      <c r="G248" s="145">
        <v>100</v>
      </c>
      <c r="H248" s="133">
        <v>10</v>
      </c>
      <c r="I248" s="79"/>
      <c r="J248" s="57" t="s">
        <v>619</v>
      </c>
      <c r="K248" s="54"/>
    </row>
    <row r="249" spans="1:12">
      <c r="A249" s="107">
        <v>45585</v>
      </c>
      <c r="B249" s="72" t="s">
        <v>834</v>
      </c>
      <c r="C249" s="70"/>
      <c r="D249" s="28"/>
      <c r="E249" s="70"/>
      <c r="F249" s="28"/>
      <c r="G249" s="145">
        <v>1054.5</v>
      </c>
      <c r="H249" s="133">
        <v>10</v>
      </c>
      <c r="I249" s="79"/>
      <c r="J249" s="58" t="s">
        <v>621</v>
      </c>
      <c r="K249" s="54">
        <f>SUM(C224)</f>
        <v>250</v>
      </c>
    </row>
    <row r="250" spans="1:12">
      <c r="A250" s="107"/>
      <c r="B250" s="72" t="s">
        <v>640</v>
      </c>
      <c r="C250" s="70"/>
      <c r="D250" s="28"/>
      <c r="E250" s="70"/>
      <c r="F250" s="28"/>
      <c r="G250" s="145">
        <v>91.96</v>
      </c>
      <c r="H250" s="133">
        <v>10</v>
      </c>
      <c r="I250" s="79"/>
      <c r="J250" s="54" t="s">
        <v>623</v>
      </c>
      <c r="K250" s="54">
        <f>SUM(C271,D271)</f>
        <v>15000</v>
      </c>
    </row>
    <row r="251" spans="1:12">
      <c r="A251" s="107"/>
      <c r="B251" s="72" t="s">
        <v>835</v>
      </c>
      <c r="C251" s="70">
        <v>2000</v>
      </c>
      <c r="D251" s="28"/>
      <c r="E251" s="70"/>
      <c r="F251" s="28"/>
      <c r="G251" s="70"/>
      <c r="H251" s="133">
        <v>7</v>
      </c>
      <c r="I251" s="79"/>
      <c r="J251" s="54" t="s">
        <v>625</v>
      </c>
      <c r="K251" s="54"/>
    </row>
    <row r="252" spans="1:12">
      <c r="A252" s="107">
        <v>45586</v>
      </c>
      <c r="B252" s="72" t="s">
        <v>836</v>
      </c>
      <c r="C252" s="70"/>
      <c r="D252" s="28"/>
      <c r="E252" s="70"/>
      <c r="F252" s="28"/>
      <c r="G252" s="70">
        <v>300</v>
      </c>
      <c r="H252" s="72">
        <v>10</v>
      </c>
      <c r="I252" s="79"/>
      <c r="J252" s="54" t="s">
        <v>627</v>
      </c>
      <c r="K252" s="54">
        <f>SUM(C268)</f>
        <v>570</v>
      </c>
    </row>
    <row r="253" spans="1:12">
      <c r="A253" s="73"/>
      <c r="B253" s="72" t="s">
        <v>618</v>
      </c>
      <c r="C253" s="70"/>
      <c r="D253" s="28"/>
      <c r="E253" s="70"/>
      <c r="F253" s="28"/>
      <c r="G253" s="70">
        <v>497</v>
      </c>
      <c r="H253" s="72">
        <v>10</v>
      </c>
      <c r="I253" s="78"/>
      <c r="J253" s="54" t="s">
        <v>629</v>
      </c>
      <c r="K253" s="54"/>
    </row>
    <row r="254" spans="1:12">
      <c r="A254" s="75"/>
      <c r="B254" s="72" t="s">
        <v>837</v>
      </c>
      <c r="C254" s="70"/>
      <c r="D254" s="28"/>
      <c r="E254" s="70"/>
      <c r="F254" s="28"/>
      <c r="G254" s="70">
        <v>42676.59</v>
      </c>
      <c r="H254" s="72">
        <v>10</v>
      </c>
      <c r="I254" s="78"/>
      <c r="J254" s="54" t="s">
        <v>631</v>
      </c>
      <c r="K254" s="54">
        <f>SUM(C218,C251)</f>
        <v>2714</v>
      </c>
    </row>
    <row r="255" spans="1:12">
      <c r="A255" s="73">
        <v>45587</v>
      </c>
      <c r="B255" s="72" t="s">
        <v>838</v>
      </c>
      <c r="C255" s="70">
        <v>1000</v>
      </c>
      <c r="D255" s="28"/>
      <c r="E255" s="70"/>
      <c r="F255" s="28"/>
      <c r="G255" s="70"/>
      <c r="H255" s="72">
        <v>9</v>
      </c>
      <c r="I255" s="78"/>
      <c r="J255" s="54" t="s">
        <v>634</v>
      </c>
      <c r="K255" s="54">
        <f>SUM(D222,C225,D226,D227,C228,D229:D231,C241,G265:G266)</f>
        <v>19304.099999999999</v>
      </c>
    </row>
    <row r="256" spans="1:12">
      <c r="A256" s="73">
        <v>45589</v>
      </c>
      <c r="B256" s="72" t="s">
        <v>637</v>
      </c>
      <c r="C256" s="70"/>
      <c r="D256" s="28"/>
      <c r="E256" s="70"/>
      <c r="F256" s="28"/>
      <c r="G256" s="70">
        <v>1137</v>
      </c>
      <c r="H256" s="72">
        <v>10</v>
      </c>
      <c r="I256" s="78"/>
      <c r="J256" s="54" t="s">
        <v>636</v>
      </c>
      <c r="K256" s="63">
        <f>SUM(C221,C255,C262,C274)</f>
        <v>4000</v>
      </c>
    </row>
    <row r="257" spans="1:11">
      <c r="A257" s="75"/>
      <c r="B257" s="72" t="s">
        <v>839</v>
      </c>
      <c r="C257" s="70"/>
      <c r="D257" s="28"/>
      <c r="E257" s="70"/>
      <c r="F257" s="28"/>
      <c r="G257" s="70">
        <v>328</v>
      </c>
      <c r="H257" s="72">
        <v>10</v>
      </c>
      <c r="I257" s="78"/>
      <c r="J257" s="54" t="s">
        <v>638</v>
      </c>
      <c r="K257" s="54">
        <f>SUM(D217,G219,D220,D223,G232:G239,D240,G242,G243,G244:G250,G252:G254,G256:G259,D260,G261,G263:G264,G267,G269,G272:G273,G275:G276)</f>
        <v>177390.05000000002</v>
      </c>
    </row>
    <row r="258" spans="1:11">
      <c r="A258" s="75"/>
      <c r="B258" s="72" t="s">
        <v>831</v>
      </c>
      <c r="C258" s="70"/>
      <c r="D258" s="28"/>
      <c r="E258" s="70"/>
      <c r="F258" s="28"/>
      <c r="G258" s="70">
        <v>1412.35</v>
      </c>
      <c r="H258" s="72">
        <v>10</v>
      </c>
      <c r="I258" s="78"/>
      <c r="J258" s="62" t="s">
        <v>808</v>
      </c>
      <c r="K258" s="65">
        <f>SUM(K245:K257)</f>
        <v>225228.15000000002</v>
      </c>
    </row>
    <row r="259" spans="1:11">
      <c r="A259" s="75"/>
      <c r="B259" s="72" t="s">
        <v>831</v>
      </c>
      <c r="C259" s="70"/>
      <c r="D259" s="28"/>
      <c r="E259" s="70"/>
      <c r="F259" s="28"/>
      <c r="G259" s="70">
        <v>1020</v>
      </c>
      <c r="H259" s="72">
        <v>10</v>
      </c>
      <c r="I259" s="78"/>
      <c r="J259" s="54"/>
      <c r="K259" s="54"/>
    </row>
    <row r="260" spans="1:11">
      <c r="A260" s="73">
        <v>45590</v>
      </c>
      <c r="B260" s="72" t="s">
        <v>840</v>
      </c>
      <c r="C260" s="70"/>
      <c r="D260" s="28">
        <v>1199</v>
      </c>
      <c r="E260" s="70"/>
      <c r="F260" s="28"/>
      <c r="G260" s="70"/>
      <c r="H260" s="72">
        <v>10</v>
      </c>
      <c r="I260" s="78"/>
      <c r="J260" s="54"/>
      <c r="K260" s="54"/>
    </row>
    <row r="261" spans="1:11">
      <c r="A261" s="75"/>
      <c r="B261" s="72" t="s">
        <v>841</v>
      </c>
      <c r="C261" s="70"/>
      <c r="D261" s="28"/>
      <c r="E261" s="70"/>
      <c r="F261" s="28"/>
      <c r="G261" s="70">
        <v>707.55</v>
      </c>
      <c r="H261" s="72">
        <v>10</v>
      </c>
      <c r="I261" s="78"/>
      <c r="J261" s="54"/>
      <c r="K261" s="54"/>
    </row>
    <row r="262" spans="1:11">
      <c r="A262" s="75"/>
      <c r="B262" s="72" t="s">
        <v>842</v>
      </c>
      <c r="C262" s="70">
        <v>1000</v>
      </c>
      <c r="D262" s="28"/>
      <c r="E262" s="70"/>
      <c r="F262" s="28"/>
      <c r="G262" s="70"/>
      <c r="H262" s="72">
        <v>9</v>
      </c>
      <c r="I262" s="78"/>
      <c r="J262" s="54"/>
      <c r="K262" s="54"/>
    </row>
    <row r="263" spans="1:11">
      <c r="A263" s="73">
        <v>45591</v>
      </c>
      <c r="B263" s="72" t="s">
        <v>843</v>
      </c>
      <c r="C263" s="70"/>
      <c r="D263" s="28"/>
      <c r="E263" s="70"/>
      <c r="F263" s="28"/>
      <c r="G263" s="70">
        <v>781</v>
      </c>
      <c r="H263" s="72">
        <v>10</v>
      </c>
      <c r="I263" s="78"/>
      <c r="J263" s="54"/>
      <c r="K263" s="54"/>
    </row>
    <row r="264" spans="1:11">
      <c r="A264" s="73">
        <v>45592</v>
      </c>
      <c r="B264" s="72" t="s">
        <v>844</v>
      </c>
      <c r="C264" s="70"/>
      <c r="D264" s="28"/>
      <c r="E264" s="70"/>
      <c r="F264" s="28"/>
      <c r="G264" s="70">
        <v>1500</v>
      </c>
      <c r="H264" s="72">
        <v>10</v>
      </c>
      <c r="I264" s="78"/>
    </row>
    <row r="265" spans="1:11">
      <c r="A265" s="73">
        <v>45593</v>
      </c>
      <c r="B265" s="125" t="s">
        <v>845</v>
      </c>
      <c r="C265" s="126"/>
      <c r="D265" s="125"/>
      <c r="E265" s="126"/>
      <c r="F265" s="125"/>
      <c r="G265" s="126">
        <v>350</v>
      </c>
      <c r="H265" s="127">
        <v>8</v>
      </c>
      <c r="I265" s="51"/>
    </row>
    <row r="266" spans="1:11">
      <c r="A266" s="150"/>
      <c r="B266" s="18" t="s">
        <v>846</v>
      </c>
      <c r="C266" s="17"/>
      <c r="D266" s="23"/>
      <c r="E266" s="18"/>
      <c r="F266" s="18"/>
      <c r="G266" s="30">
        <v>500</v>
      </c>
      <c r="H266" s="31">
        <v>8</v>
      </c>
      <c r="I266" s="51"/>
    </row>
    <row r="267" spans="1:11">
      <c r="A267" s="151"/>
      <c r="B267" s="18" t="s">
        <v>834</v>
      </c>
      <c r="C267" s="32"/>
      <c r="D267" s="66"/>
      <c r="E267" s="18"/>
      <c r="F267" s="18"/>
      <c r="G267" s="30">
        <v>1334.2</v>
      </c>
      <c r="H267" s="31">
        <v>10</v>
      </c>
      <c r="I267" s="61"/>
    </row>
    <row r="268" spans="1:11">
      <c r="A268" s="73">
        <v>45594</v>
      </c>
      <c r="B268" s="35" t="s">
        <v>847</v>
      </c>
      <c r="C268" s="89">
        <v>570</v>
      </c>
      <c r="D268" s="89"/>
      <c r="E268" s="89"/>
      <c r="F268" s="89"/>
      <c r="G268" s="89"/>
      <c r="H268" s="43" t="s">
        <v>648</v>
      </c>
      <c r="I268" s="170"/>
    </row>
    <row r="269" spans="1:11">
      <c r="A269" s="152"/>
      <c r="B269" s="153" t="s">
        <v>848</v>
      </c>
      <c r="C269" s="154"/>
      <c r="D269" s="153"/>
      <c r="E269" s="154"/>
      <c r="F269" s="153"/>
      <c r="G269" s="154">
        <v>5700</v>
      </c>
      <c r="H269" s="155">
        <v>10</v>
      </c>
      <c r="I269" s="146"/>
      <c r="J269" s="62"/>
      <c r="K269" s="54"/>
    </row>
    <row r="270" spans="1:11">
      <c r="A270" s="73">
        <v>45596</v>
      </c>
      <c r="B270" s="125" t="s">
        <v>806</v>
      </c>
      <c r="C270" s="126">
        <v>6000</v>
      </c>
      <c r="D270" s="125"/>
      <c r="E270" s="126"/>
      <c r="F270" s="125"/>
      <c r="G270" s="126"/>
      <c r="H270" s="127">
        <v>3</v>
      </c>
      <c r="I270" s="146"/>
      <c r="J270" s="53"/>
      <c r="K270" s="54"/>
    </row>
    <row r="271" spans="1:11">
      <c r="A271" s="128"/>
      <c r="B271" s="125" t="s">
        <v>849</v>
      </c>
      <c r="C271" s="105">
        <v>8500</v>
      </c>
      <c r="D271" s="22">
        <v>6500</v>
      </c>
      <c r="E271" s="126"/>
      <c r="F271" s="125"/>
      <c r="G271" s="126"/>
      <c r="H271" s="127">
        <v>6</v>
      </c>
      <c r="I271" s="146"/>
      <c r="J271" s="55"/>
      <c r="K271" s="54"/>
    </row>
    <row r="272" spans="1:11">
      <c r="A272" s="128"/>
      <c r="B272" s="125" t="s">
        <v>834</v>
      </c>
      <c r="C272" s="126"/>
      <c r="D272" s="125"/>
      <c r="E272" s="126"/>
      <c r="F272" s="125"/>
      <c r="G272" s="126">
        <v>1191.25</v>
      </c>
      <c r="H272" s="127">
        <v>10</v>
      </c>
      <c r="I272" s="146"/>
      <c r="J272" s="56"/>
      <c r="K272" s="54"/>
    </row>
    <row r="273" spans="1:11">
      <c r="A273" s="128"/>
      <c r="B273" s="125" t="s">
        <v>850</v>
      </c>
      <c r="C273" s="126"/>
      <c r="D273" s="125"/>
      <c r="E273" s="126"/>
      <c r="F273" s="125"/>
      <c r="G273" s="126">
        <v>550</v>
      </c>
      <c r="H273" s="127">
        <v>10</v>
      </c>
      <c r="I273" s="146"/>
      <c r="J273" s="57"/>
      <c r="K273" s="54"/>
    </row>
    <row r="274" spans="1:11">
      <c r="A274" s="128"/>
      <c r="B274" s="125" t="s">
        <v>722</v>
      </c>
      <c r="C274" s="126">
        <v>1000</v>
      </c>
      <c r="D274" s="125"/>
      <c r="E274" s="126"/>
      <c r="F274" s="125"/>
      <c r="G274" s="126"/>
      <c r="H274" s="127">
        <v>9</v>
      </c>
      <c r="I274" s="146"/>
      <c r="J274" s="58"/>
      <c r="K274" s="54"/>
    </row>
    <row r="275" spans="1:11">
      <c r="A275" s="128"/>
      <c r="B275" s="125" t="s">
        <v>851</v>
      </c>
      <c r="C275" s="126"/>
      <c r="D275" s="125"/>
      <c r="E275" s="126"/>
      <c r="F275" s="125"/>
      <c r="G275" s="126">
        <v>600</v>
      </c>
      <c r="H275" s="127">
        <v>10</v>
      </c>
      <c r="I275" s="146"/>
      <c r="J275" s="54"/>
      <c r="K275" s="54"/>
    </row>
    <row r="276" spans="1:11">
      <c r="A276" s="128"/>
      <c r="B276" s="125" t="s">
        <v>852</v>
      </c>
      <c r="C276" s="126"/>
      <c r="D276" s="125"/>
      <c r="E276" s="126"/>
      <c r="F276" s="125"/>
      <c r="G276" s="126">
        <v>1650</v>
      </c>
      <c r="H276" s="127">
        <v>10</v>
      </c>
      <c r="I276" s="146"/>
      <c r="J276" s="54"/>
      <c r="K276" s="54"/>
    </row>
    <row r="277" spans="1:11">
      <c r="A277" s="156" t="s">
        <v>808</v>
      </c>
      <c r="B277" s="157" t="s">
        <v>853</v>
      </c>
      <c r="C277" s="158">
        <f>SUM(C217:C276)</f>
        <v>36734</v>
      </c>
      <c r="D277" s="157">
        <f>SUM(D217:D276)</f>
        <v>23705.25</v>
      </c>
      <c r="E277" s="158"/>
      <c r="F277" s="157"/>
      <c r="G277" s="158">
        <f>SUM(G217:G276)</f>
        <v>164788.9</v>
      </c>
      <c r="H277" s="157"/>
      <c r="I277" s="171">
        <f>SUM(C277:G277)</f>
        <v>225228.15</v>
      </c>
      <c r="J277" s="54"/>
      <c r="K277" s="54"/>
    </row>
    <row r="278" spans="1:11">
      <c r="A278" s="159" t="s">
        <v>854</v>
      </c>
      <c r="B278" s="125"/>
      <c r="C278" s="126"/>
      <c r="D278" s="125"/>
      <c r="E278" s="126"/>
      <c r="F278" s="125"/>
      <c r="G278" s="126"/>
      <c r="H278" s="125"/>
      <c r="I278" s="146"/>
      <c r="J278" s="54"/>
      <c r="K278" s="54"/>
    </row>
    <row r="279" spans="1:11">
      <c r="A279" s="73">
        <v>45597</v>
      </c>
      <c r="B279" s="125" t="s">
        <v>637</v>
      </c>
      <c r="C279" s="126"/>
      <c r="D279" s="125">
        <v>3682.4</v>
      </c>
      <c r="E279" s="126"/>
      <c r="F279" s="125"/>
      <c r="G279" s="126"/>
      <c r="H279" s="127">
        <v>10</v>
      </c>
      <c r="I279" s="146"/>
      <c r="J279" s="54"/>
      <c r="K279" s="54"/>
    </row>
    <row r="280" spans="1:11">
      <c r="A280" s="73">
        <v>45598</v>
      </c>
      <c r="B280" s="125" t="s">
        <v>855</v>
      </c>
      <c r="C280" s="126"/>
      <c r="D280" s="125">
        <v>1250</v>
      </c>
      <c r="E280" s="126"/>
      <c r="F280" s="125"/>
      <c r="G280" s="126"/>
      <c r="H280" s="127">
        <v>10</v>
      </c>
      <c r="I280" s="146"/>
      <c r="J280" s="54"/>
      <c r="K280" s="54"/>
    </row>
    <row r="281" spans="1:11">
      <c r="A281" s="73">
        <v>45599</v>
      </c>
      <c r="B281" s="125" t="s">
        <v>856</v>
      </c>
      <c r="C281" s="126">
        <v>1950</v>
      </c>
      <c r="D281" s="125"/>
      <c r="E281" s="126"/>
      <c r="F281" s="125"/>
      <c r="G281" s="126"/>
      <c r="H281" s="127">
        <v>9</v>
      </c>
      <c r="I281" s="146"/>
      <c r="J281" s="54"/>
      <c r="K281" s="63"/>
    </row>
    <row r="282" spans="1:11">
      <c r="A282" s="73">
        <v>45600</v>
      </c>
      <c r="B282" s="125" t="s">
        <v>857</v>
      </c>
      <c r="C282" s="126">
        <v>9572.4</v>
      </c>
      <c r="D282" s="125">
        <v>2899.58</v>
      </c>
      <c r="E282" s="126"/>
      <c r="F282" s="125"/>
      <c r="G282" s="126"/>
      <c r="H282" s="127">
        <v>7</v>
      </c>
      <c r="I282" s="146"/>
      <c r="J282" s="54"/>
      <c r="K282" s="54"/>
    </row>
    <row r="283" spans="1:11">
      <c r="A283" s="73">
        <v>45602</v>
      </c>
      <c r="B283" s="73" t="s">
        <v>855</v>
      </c>
      <c r="C283" s="71"/>
      <c r="D283" s="22">
        <v>2924.17</v>
      </c>
      <c r="E283" s="71"/>
      <c r="F283" s="45"/>
      <c r="G283" s="71"/>
      <c r="H283" s="127">
        <v>10</v>
      </c>
      <c r="I283" s="78"/>
      <c r="J283" s="62"/>
      <c r="K283" s="65"/>
    </row>
    <row r="284" spans="1:11">
      <c r="A284" s="73">
        <v>45603</v>
      </c>
      <c r="B284" s="74" t="s">
        <v>858</v>
      </c>
      <c r="C284" s="105"/>
      <c r="D284" s="22"/>
      <c r="E284" s="105"/>
      <c r="F284" s="22"/>
      <c r="G284" s="105">
        <v>340</v>
      </c>
      <c r="H284" s="127">
        <v>10</v>
      </c>
      <c r="I284" s="120"/>
      <c r="J284" s="54"/>
      <c r="K284" s="54"/>
    </row>
    <row r="285" spans="1:11">
      <c r="A285" s="73">
        <v>45604</v>
      </c>
      <c r="B285" s="74" t="s">
        <v>859</v>
      </c>
      <c r="C285" s="105"/>
      <c r="D285" s="22"/>
      <c r="E285" s="105"/>
      <c r="F285" s="22"/>
      <c r="G285" s="105">
        <v>950</v>
      </c>
      <c r="H285" s="127">
        <v>10</v>
      </c>
      <c r="I285" s="120"/>
      <c r="J285" s="54"/>
      <c r="K285" s="54"/>
    </row>
    <row r="286" spans="1:11">
      <c r="A286" s="73">
        <v>45605</v>
      </c>
      <c r="B286" s="74" t="s">
        <v>860</v>
      </c>
      <c r="C286" s="105"/>
      <c r="D286" s="22"/>
      <c r="E286" s="105"/>
      <c r="F286" s="22"/>
      <c r="G286" s="105">
        <v>1650</v>
      </c>
      <c r="H286" s="127">
        <v>10</v>
      </c>
      <c r="I286" s="120"/>
      <c r="J286" s="54"/>
      <c r="K286" s="54"/>
    </row>
    <row r="287" spans="1:11">
      <c r="A287" s="73"/>
      <c r="B287" s="74" t="s">
        <v>637</v>
      </c>
      <c r="C287" s="105"/>
      <c r="D287" s="22"/>
      <c r="E287" s="105"/>
      <c r="F287" s="22"/>
      <c r="G287" s="105">
        <v>3999.5</v>
      </c>
      <c r="H287" s="127">
        <v>10</v>
      </c>
      <c r="I287" s="120"/>
      <c r="J287" s="54"/>
      <c r="K287" s="54"/>
    </row>
    <row r="288" spans="1:11">
      <c r="A288" s="73"/>
      <c r="B288" s="74" t="s">
        <v>861</v>
      </c>
      <c r="C288" s="105"/>
      <c r="D288" s="22"/>
      <c r="E288" s="105"/>
      <c r="F288" s="22"/>
      <c r="G288" s="105">
        <v>750</v>
      </c>
      <c r="H288" s="127">
        <v>10</v>
      </c>
      <c r="I288" s="120"/>
      <c r="J288" s="54"/>
      <c r="K288" s="54"/>
    </row>
    <row r="289" spans="1:11">
      <c r="A289" s="73"/>
      <c r="B289" s="74" t="s">
        <v>862</v>
      </c>
      <c r="C289" s="105"/>
      <c r="D289" s="22"/>
      <c r="E289" s="105"/>
      <c r="F289" s="22"/>
      <c r="G289" s="105">
        <v>250</v>
      </c>
      <c r="H289" s="127">
        <v>10</v>
      </c>
      <c r="I289" s="120"/>
    </row>
    <row r="290" spans="1:11">
      <c r="A290" s="37">
        <v>45607</v>
      </c>
      <c r="B290" s="74" t="s">
        <v>863</v>
      </c>
      <c r="C290" s="105"/>
      <c r="D290" s="22"/>
      <c r="E290" s="105"/>
      <c r="F290" s="22">
        <v>2530</v>
      </c>
      <c r="G290" s="105"/>
      <c r="H290" s="127">
        <v>8</v>
      </c>
      <c r="I290" s="51"/>
    </row>
    <row r="291" spans="1:11">
      <c r="A291" s="46"/>
      <c r="B291" s="14" t="s">
        <v>864</v>
      </c>
      <c r="C291" s="17">
        <v>1619</v>
      </c>
      <c r="D291" s="23"/>
      <c r="E291" s="18"/>
      <c r="F291" s="18"/>
      <c r="G291" s="30"/>
      <c r="H291" s="127">
        <v>8</v>
      </c>
      <c r="I291" s="51"/>
    </row>
    <row r="292" spans="1:11">
      <c r="A292" s="33"/>
      <c r="B292" s="14" t="s">
        <v>865</v>
      </c>
      <c r="C292" s="32">
        <v>6000</v>
      </c>
      <c r="D292" s="66"/>
      <c r="E292" s="18"/>
      <c r="F292" s="18"/>
      <c r="G292" s="30"/>
      <c r="H292" s="127">
        <v>10</v>
      </c>
      <c r="I292" s="61"/>
    </row>
    <row r="293" spans="1:11">
      <c r="A293" s="86"/>
      <c r="B293" s="34" t="s">
        <v>866</v>
      </c>
      <c r="C293" s="89">
        <v>1200</v>
      </c>
      <c r="D293" s="89"/>
      <c r="E293" s="89"/>
      <c r="F293" s="89"/>
      <c r="G293" s="89"/>
      <c r="H293" s="127">
        <v>8</v>
      </c>
      <c r="I293" s="119"/>
    </row>
    <row r="294" spans="1:11">
      <c r="A294" s="37">
        <v>45609</v>
      </c>
      <c r="B294" s="102" t="s">
        <v>867</v>
      </c>
      <c r="C294" s="103">
        <v>11468</v>
      </c>
      <c r="D294" s="104"/>
      <c r="E294" s="103"/>
      <c r="F294" s="104"/>
      <c r="G294" s="103"/>
      <c r="H294" s="127">
        <v>8</v>
      </c>
      <c r="I294" s="120"/>
      <c r="J294" s="62" t="s">
        <v>868</v>
      </c>
      <c r="K294" s="54" t="s">
        <v>661</v>
      </c>
    </row>
    <row r="295" spans="1:11">
      <c r="A295" s="69"/>
      <c r="B295" s="74" t="s">
        <v>722</v>
      </c>
      <c r="C295" s="105">
        <v>1000</v>
      </c>
      <c r="D295" s="22"/>
      <c r="E295" s="105"/>
      <c r="F295" s="22"/>
      <c r="G295" s="105"/>
      <c r="H295" s="127">
        <v>9</v>
      </c>
      <c r="I295" s="120"/>
      <c r="J295" s="53" t="s">
        <v>613</v>
      </c>
      <c r="K295" s="54"/>
    </row>
    <row r="296" spans="1:11">
      <c r="A296" s="69"/>
      <c r="B296" s="74" t="s">
        <v>639</v>
      </c>
      <c r="C296" s="105">
        <v>860</v>
      </c>
      <c r="D296" s="22"/>
      <c r="E296" s="105"/>
      <c r="F296" s="22"/>
      <c r="G296" s="105"/>
      <c r="H296" s="127">
        <v>8</v>
      </c>
      <c r="I296" s="120"/>
      <c r="J296" s="55" t="s">
        <v>615</v>
      </c>
      <c r="K296" s="54">
        <f>SUM(C297,C303,C304,C305)</f>
        <v>63631</v>
      </c>
    </row>
    <row r="297" spans="1:11">
      <c r="A297" s="107">
        <v>45610</v>
      </c>
      <c r="B297" s="74" t="s">
        <v>869</v>
      </c>
      <c r="C297" s="105">
        <v>3168</v>
      </c>
      <c r="D297" s="22"/>
      <c r="E297" s="105"/>
      <c r="F297" s="22"/>
      <c r="G297" s="105"/>
      <c r="H297" s="127">
        <v>2</v>
      </c>
      <c r="I297" s="120"/>
      <c r="J297" s="56" t="s">
        <v>617</v>
      </c>
      <c r="K297" s="54">
        <f>SUM(C310)</f>
        <v>6000</v>
      </c>
    </row>
    <row r="298" spans="1:11">
      <c r="A298" s="106"/>
      <c r="B298" s="74" t="s">
        <v>870</v>
      </c>
      <c r="C298" s="105">
        <v>714</v>
      </c>
      <c r="D298" s="22"/>
      <c r="E298" s="105"/>
      <c r="F298" s="22"/>
      <c r="G298" s="105"/>
      <c r="H298" s="127">
        <v>7</v>
      </c>
      <c r="I298" s="120"/>
      <c r="J298" s="57" t="s">
        <v>619</v>
      </c>
      <c r="K298" s="54"/>
    </row>
    <row r="299" spans="1:11">
      <c r="A299" s="107">
        <v>45611</v>
      </c>
      <c r="B299" s="74" t="s">
        <v>871</v>
      </c>
      <c r="C299" s="105">
        <v>600</v>
      </c>
      <c r="D299" s="22"/>
      <c r="E299" s="105"/>
      <c r="F299" s="22"/>
      <c r="G299" s="105"/>
      <c r="H299" s="127">
        <v>8</v>
      </c>
      <c r="I299" s="120"/>
      <c r="J299" s="58" t="s">
        <v>621</v>
      </c>
      <c r="K299" s="54"/>
    </row>
    <row r="300" spans="1:11">
      <c r="A300" s="106"/>
      <c r="B300" s="74" t="s">
        <v>872</v>
      </c>
      <c r="C300" s="105"/>
      <c r="D300" s="22"/>
      <c r="E300" s="105"/>
      <c r="F300" s="22">
        <v>600</v>
      </c>
      <c r="G300" s="105"/>
      <c r="H300" s="127">
        <v>8</v>
      </c>
      <c r="I300" s="120"/>
      <c r="J300" s="54" t="s">
        <v>623</v>
      </c>
      <c r="K300" s="54">
        <f>SUM(C311,D311)</f>
        <v>15000</v>
      </c>
    </row>
    <row r="301" spans="1:11">
      <c r="A301" s="106"/>
      <c r="B301" s="74" t="s">
        <v>873</v>
      </c>
      <c r="C301" s="105">
        <v>1800</v>
      </c>
      <c r="D301" s="22"/>
      <c r="E301" s="105"/>
      <c r="F301" s="22"/>
      <c r="G301" s="105"/>
      <c r="H301" s="127">
        <v>8</v>
      </c>
      <c r="I301" s="120"/>
      <c r="J301" s="54" t="s">
        <v>625</v>
      </c>
      <c r="K301" s="54"/>
    </row>
    <row r="302" spans="1:11">
      <c r="A302" s="107">
        <v>45615</v>
      </c>
      <c r="B302" s="74" t="s">
        <v>874</v>
      </c>
      <c r="C302" s="105">
        <v>1500</v>
      </c>
      <c r="D302" s="22"/>
      <c r="E302" s="105"/>
      <c r="F302" s="22"/>
      <c r="G302" s="105"/>
      <c r="H302" s="127">
        <v>9</v>
      </c>
      <c r="I302" s="120"/>
      <c r="J302" s="54" t="s">
        <v>627</v>
      </c>
      <c r="K302" s="54">
        <f>SUM(C306)</f>
        <v>570</v>
      </c>
    </row>
    <row r="303" spans="1:11">
      <c r="A303" s="106"/>
      <c r="B303" s="74" t="s">
        <v>875</v>
      </c>
      <c r="C303" s="105">
        <v>1982.4</v>
      </c>
      <c r="D303" s="22"/>
      <c r="E303" s="105"/>
      <c r="F303" s="22"/>
      <c r="G303" s="105"/>
      <c r="H303" s="74">
        <v>2</v>
      </c>
      <c r="I303" s="120"/>
      <c r="J303" s="54" t="s">
        <v>629</v>
      </c>
      <c r="K303" s="54"/>
    </row>
    <row r="304" spans="1:11">
      <c r="A304" s="106"/>
      <c r="B304" s="74" t="s">
        <v>876</v>
      </c>
      <c r="C304" s="105">
        <v>24778</v>
      </c>
      <c r="D304" s="22"/>
      <c r="E304" s="105"/>
      <c r="F304" s="22"/>
      <c r="G304" s="105"/>
      <c r="H304" s="74">
        <v>2</v>
      </c>
      <c r="I304" s="120"/>
      <c r="J304" s="54" t="s">
        <v>631</v>
      </c>
      <c r="K304" s="54">
        <f>SUM(C298,C308,C282,D282)</f>
        <v>15185.98</v>
      </c>
    </row>
    <row r="305" spans="1:11">
      <c r="A305" s="106"/>
      <c r="B305" s="74" t="s">
        <v>875</v>
      </c>
      <c r="C305" s="105">
        <v>33702.6</v>
      </c>
      <c r="D305" s="22"/>
      <c r="E305" s="105"/>
      <c r="F305" s="22"/>
      <c r="G305" s="105"/>
      <c r="H305" s="74">
        <v>2</v>
      </c>
      <c r="I305" s="120"/>
      <c r="J305" s="54" t="s">
        <v>634</v>
      </c>
      <c r="K305" s="54">
        <f>SUM(F290,C291,C293,C294,C296,C299,F300,C301,C307,C309)</f>
        <v>27877</v>
      </c>
    </row>
    <row r="306" spans="1:11">
      <c r="A306" s="107">
        <v>45619</v>
      </c>
      <c r="B306" s="74" t="s">
        <v>877</v>
      </c>
      <c r="C306" s="105">
        <v>570</v>
      </c>
      <c r="D306" s="22"/>
      <c r="E306" s="105"/>
      <c r="F306" s="22"/>
      <c r="G306" s="105"/>
      <c r="H306" s="74" t="s">
        <v>648</v>
      </c>
      <c r="I306" s="120"/>
      <c r="J306" s="54" t="s">
        <v>636</v>
      </c>
      <c r="K306" s="63">
        <f>SUM(C281,C295,C302)</f>
        <v>4450</v>
      </c>
    </row>
    <row r="307" spans="1:11">
      <c r="A307" s="106"/>
      <c r="B307" s="74" t="s">
        <v>878</v>
      </c>
      <c r="C307" s="105">
        <v>3600</v>
      </c>
      <c r="D307" s="22"/>
      <c r="E307" s="105"/>
      <c r="F307" s="22"/>
      <c r="G307" s="105"/>
      <c r="H307" s="74">
        <v>8</v>
      </c>
      <c r="I307" s="120"/>
      <c r="J307" s="54" t="s">
        <v>638</v>
      </c>
      <c r="K307" s="54">
        <f>SUM(D279,D280,D283,G284,G285,G286,G287,G288,G289,C292,C312)</f>
        <v>27496.07</v>
      </c>
    </row>
    <row r="308" spans="1:11">
      <c r="A308" s="106"/>
      <c r="B308" s="74" t="s">
        <v>692</v>
      </c>
      <c r="C308" s="105">
        <v>2000</v>
      </c>
      <c r="D308" s="22"/>
      <c r="E308" s="105"/>
      <c r="F308" s="22"/>
      <c r="G308" s="105"/>
      <c r="H308" s="74">
        <v>7</v>
      </c>
      <c r="I308" s="120"/>
      <c r="J308" s="54"/>
      <c r="K308" s="54"/>
    </row>
    <row r="309" spans="1:11">
      <c r="A309" s="107">
        <v>45626</v>
      </c>
      <c r="B309" s="74" t="s">
        <v>879</v>
      </c>
      <c r="C309" s="105">
        <v>3600</v>
      </c>
      <c r="D309" s="22"/>
      <c r="E309" s="105"/>
      <c r="F309" s="22"/>
      <c r="G309" s="105"/>
      <c r="H309" s="74">
        <v>8</v>
      </c>
      <c r="I309" s="120"/>
      <c r="J309" s="172" t="s">
        <v>868</v>
      </c>
      <c r="K309" s="173">
        <f>SUM(K295:K307)</f>
        <v>160210.04999999999</v>
      </c>
    </row>
    <row r="310" spans="1:11">
      <c r="A310" s="106"/>
      <c r="B310" s="125" t="s">
        <v>806</v>
      </c>
      <c r="C310" s="126">
        <v>6000</v>
      </c>
      <c r="D310" s="125"/>
      <c r="E310" s="105"/>
      <c r="F310" s="22"/>
      <c r="G310" s="105"/>
      <c r="H310" s="74">
        <v>3</v>
      </c>
      <c r="I310" s="120"/>
      <c r="J310" s="174"/>
      <c r="K310" s="174"/>
    </row>
    <row r="311" spans="1:11">
      <c r="A311" s="106"/>
      <c r="B311" s="125" t="s">
        <v>880</v>
      </c>
      <c r="C311" s="105">
        <v>8500</v>
      </c>
      <c r="D311" s="22">
        <v>6500</v>
      </c>
      <c r="E311" s="105"/>
      <c r="F311" s="22"/>
      <c r="G311" s="105"/>
      <c r="H311" s="74">
        <v>6</v>
      </c>
      <c r="I311" s="120"/>
      <c r="J311" s="54"/>
      <c r="K311" s="54"/>
    </row>
    <row r="312" spans="1:11">
      <c r="A312" s="106"/>
      <c r="B312" s="74" t="s">
        <v>881</v>
      </c>
      <c r="C312" s="105">
        <v>5700</v>
      </c>
      <c r="D312" s="22"/>
      <c r="E312" s="105"/>
      <c r="F312" s="22"/>
      <c r="G312" s="105"/>
      <c r="H312" s="74">
        <v>10</v>
      </c>
      <c r="I312" s="120"/>
      <c r="J312" s="54"/>
      <c r="K312" s="54"/>
    </row>
    <row r="313" spans="1:11">
      <c r="A313" s="160" t="s">
        <v>854</v>
      </c>
      <c r="B313" s="160" t="s">
        <v>882</v>
      </c>
      <c r="C313" s="161">
        <f>SUM(C279:C312)</f>
        <v>131884.4</v>
      </c>
      <c r="D313" s="162">
        <f>SUM(D279:D312)</f>
        <v>17256.150000000001</v>
      </c>
      <c r="E313" s="161"/>
      <c r="F313" s="162">
        <f>SUM(F279:F312)</f>
        <v>3130</v>
      </c>
      <c r="G313" s="161">
        <f>SUM(G284:G312)</f>
        <v>7939.5</v>
      </c>
      <c r="H313" s="160"/>
      <c r="I313" s="175">
        <f>SUM(C313:G313)</f>
        <v>160210.04999999999</v>
      </c>
      <c r="J313" s="54"/>
      <c r="K313" s="54"/>
    </row>
    <row r="314" spans="1:11">
      <c r="A314" s="163" t="s">
        <v>883</v>
      </c>
      <c r="B314" s="164"/>
      <c r="C314" s="165"/>
      <c r="D314" s="166"/>
      <c r="E314" s="71"/>
      <c r="F314" s="45"/>
      <c r="G314" s="71"/>
      <c r="H314" s="167"/>
      <c r="I314" s="78"/>
      <c r="J314" s="54"/>
      <c r="K314" s="54"/>
    </row>
    <row r="315" spans="1:11">
      <c r="A315" s="168">
        <v>45627</v>
      </c>
      <c r="B315" s="169" t="s">
        <v>884</v>
      </c>
      <c r="C315" s="165"/>
      <c r="D315" s="166"/>
      <c r="E315" s="71"/>
      <c r="F315" s="45"/>
      <c r="G315" s="105">
        <v>37754.35</v>
      </c>
      <c r="H315" s="74">
        <v>10</v>
      </c>
      <c r="I315" s="120"/>
    </row>
    <row r="316" spans="1:11">
      <c r="A316" s="37">
        <v>45628</v>
      </c>
      <c r="B316" s="74" t="s">
        <v>885</v>
      </c>
      <c r="C316" s="105">
        <v>790</v>
      </c>
      <c r="D316" s="45"/>
      <c r="E316" s="71"/>
      <c r="F316" s="45"/>
      <c r="G316" s="71"/>
      <c r="H316" s="74">
        <v>8</v>
      </c>
      <c r="I316" s="51"/>
    </row>
    <row r="317" spans="1:11">
      <c r="A317" s="46"/>
      <c r="B317" s="14" t="s">
        <v>775</v>
      </c>
      <c r="C317" s="17">
        <v>875</v>
      </c>
      <c r="D317" s="23"/>
      <c r="E317" s="18"/>
      <c r="F317" s="18"/>
      <c r="G317" s="30"/>
      <c r="H317" s="31">
        <v>8</v>
      </c>
      <c r="I317" s="51"/>
    </row>
    <row r="318" spans="1:11">
      <c r="A318" s="33">
        <v>45630</v>
      </c>
      <c r="B318" s="14" t="s">
        <v>886</v>
      </c>
      <c r="C318" s="32">
        <v>10823.31</v>
      </c>
      <c r="D318" s="66">
        <v>3744.2</v>
      </c>
      <c r="E318" s="18"/>
      <c r="F318" s="18"/>
      <c r="G318" s="30"/>
      <c r="H318" s="31">
        <v>7</v>
      </c>
      <c r="I318" s="61"/>
    </row>
    <row r="319" spans="1:11">
      <c r="A319" s="114">
        <v>45633</v>
      </c>
      <c r="B319" s="34" t="s">
        <v>887</v>
      </c>
      <c r="C319" s="89">
        <v>3600</v>
      </c>
      <c r="D319" s="89"/>
      <c r="E319" s="89">
        <f>SUM(E295:E318)</f>
        <v>0</v>
      </c>
      <c r="F319" s="89"/>
      <c r="G319" s="89"/>
      <c r="H319" s="43">
        <v>8</v>
      </c>
      <c r="I319" s="119"/>
    </row>
    <row r="320" spans="1:11">
      <c r="A320" s="114">
        <v>45635</v>
      </c>
      <c r="B320" s="153" t="s">
        <v>888</v>
      </c>
      <c r="C320" s="154">
        <v>714</v>
      </c>
      <c r="D320" s="153"/>
      <c r="E320" s="154"/>
      <c r="F320" s="153"/>
      <c r="G320" s="154"/>
      <c r="H320" s="155">
        <v>7</v>
      </c>
      <c r="I320" s="146"/>
      <c r="J320" s="62" t="s">
        <v>883</v>
      </c>
      <c r="K320" s="54" t="s">
        <v>661</v>
      </c>
    </row>
    <row r="321" spans="1:11">
      <c r="A321" s="128"/>
      <c r="B321" s="125" t="s">
        <v>889</v>
      </c>
      <c r="C321" s="126">
        <v>570</v>
      </c>
      <c r="D321" s="125"/>
      <c r="E321" s="126"/>
      <c r="F321" s="125"/>
      <c r="G321" s="126"/>
      <c r="H321" s="125" t="s">
        <v>648</v>
      </c>
      <c r="I321" s="146"/>
      <c r="J321" s="53" t="s">
        <v>613</v>
      </c>
      <c r="K321" s="54"/>
    </row>
    <row r="322" spans="1:11">
      <c r="A322" s="128"/>
      <c r="B322" s="125" t="s">
        <v>864</v>
      </c>
      <c r="C322" s="126">
        <v>5593.97</v>
      </c>
      <c r="D322" s="125"/>
      <c r="E322" s="126"/>
      <c r="F322" s="125"/>
      <c r="G322" s="126"/>
      <c r="H322" s="127">
        <v>8</v>
      </c>
      <c r="I322" s="146"/>
      <c r="J322" s="55" t="s">
        <v>615</v>
      </c>
      <c r="K322" s="54"/>
    </row>
    <row r="323" spans="1:11">
      <c r="A323" s="128"/>
      <c r="B323" s="125" t="s">
        <v>823</v>
      </c>
      <c r="C323" s="126"/>
      <c r="D323" s="125"/>
      <c r="E323" s="126"/>
      <c r="G323" s="125">
        <v>15000</v>
      </c>
      <c r="H323" s="127">
        <v>10</v>
      </c>
      <c r="I323" s="146"/>
      <c r="J323" s="56" t="s">
        <v>617</v>
      </c>
      <c r="K323" s="54">
        <f>SUM(C333)</f>
        <v>6000</v>
      </c>
    </row>
    <row r="324" spans="1:11">
      <c r="A324" s="128"/>
      <c r="B324" s="125" t="s">
        <v>822</v>
      </c>
      <c r="C324" s="126"/>
      <c r="D324" s="125"/>
      <c r="E324" s="126"/>
      <c r="G324" s="125">
        <v>15000</v>
      </c>
      <c r="H324" s="127">
        <v>10</v>
      </c>
      <c r="I324" s="146"/>
      <c r="J324" s="57" t="s">
        <v>619</v>
      </c>
      <c r="K324" s="54"/>
    </row>
    <row r="325" spans="1:11">
      <c r="A325" s="128"/>
      <c r="B325" s="125" t="s">
        <v>890</v>
      </c>
      <c r="C325" s="126"/>
      <c r="D325" s="125"/>
      <c r="E325" s="126"/>
      <c r="G325" s="125">
        <v>2000</v>
      </c>
      <c r="H325" s="127">
        <v>10</v>
      </c>
      <c r="I325" s="146"/>
      <c r="J325" s="58" t="s">
        <v>621</v>
      </c>
      <c r="K325" s="54"/>
    </row>
    <row r="326" spans="1:11">
      <c r="A326" s="114">
        <v>45637</v>
      </c>
      <c r="B326" s="125" t="s">
        <v>891</v>
      </c>
      <c r="C326" s="126">
        <v>2400</v>
      </c>
      <c r="D326" s="125"/>
      <c r="E326" s="126"/>
      <c r="F326" s="125"/>
      <c r="G326" s="126"/>
      <c r="H326" s="127">
        <v>8</v>
      </c>
      <c r="I326" s="146"/>
      <c r="J326" s="54" t="s">
        <v>623</v>
      </c>
      <c r="K326" s="54">
        <f>SUM(C332,D332)</f>
        <v>15000</v>
      </c>
    </row>
    <row r="327" spans="1:11">
      <c r="A327" s="114">
        <v>45646</v>
      </c>
      <c r="B327" s="125" t="s">
        <v>835</v>
      </c>
      <c r="C327" s="126">
        <v>2000</v>
      </c>
      <c r="D327" s="125"/>
      <c r="E327" s="126"/>
      <c r="F327" s="125"/>
      <c r="G327" s="126"/>
      <c r="H327" s="127">
        <v>7</v>
      </c>
      <c r="I327" s="146"/>
      <c r="J327" s="54" t="s">
        <v>625</v>
      </c>
      <c r="K327" s="54"/>
    </row>
    <row r="328" spans="1:11">
      <c r="A328" s="168">
        <v>45648</v>
      </c>
      <c r="B328" s="169" t="s">
        <v>884</v>
      </c>
      <c r="C328" s="126"/>
      <c r="D328" s="125"/>
      <c r="E328" s="126"/>
      <c r="F328" s="125"/>
      <c r="G328" s="126">
        <v>37901.050000000003</v>
      </c>
      <c r="H328" s="127">
        <v>10</v>
      </c>
      <c r="I328" s="146"/>
      <c r="J328" s="54" t="s">
        <v>627</v>
      </c>
      <c r="K328" s="54">
        <f>SUM(C321)</f>
        <v>570</v>
      </c>
    </row>
    <row r="329" spans="1:11">
      <c r="A329" s="168">
        <v>45648</v>
      </c>
      <c r="B329" s="125" t="s">
        <v>881</v>
      </c>
      <c r="C329" s="126"/>
      <c r="D329" s="125"/>
      <c r="E329" s="126"/>
      <c r="F329" s="125"/>
      <c r="G329" s="126">
        <v>5700</v>
      </c>
      <c r="H329" s="127">
        <v>10</v>
      </c>
      <c r="I329" s="146"/>
      <c r="J329" s="54" t="s">
        <v>629</v>
      </c>
      <c r="K329" s="54"/>
    </row>
    <row r="330" spans="1:11">
      <c r="A330" s="168">
        <v>45657</v>
      </c>
      <c r="B330" s="125" t="s">
        <v>838</v>
      </c>
      <c r="C330" s="126">
        <v>1000</v>
      </c>
      <c r="D330" s="125"/>
      <c r="E330" s="126"/>
      <c r="F330" s="125"/>
      <c r="G330" s="126"/>
      <c r="H330" s="127">
        <v>9</v>
      </c>
      <c r="I330" s="146"/>
      <c r="J330" s="54" t="s">
        <v>631</v>
      </c>
      <c r="K330" s="54">
        <f>SUM(C318,D318,C320,C327,)</f>
        <v>17281.509999999998</v>
      </c>
    </row>
    <row r="331" spans="1:11">
      <c r="A331" s="128"/>
      <c r="B331" s="125" t="s">
        <v>892</v>
      </c>
      <c r="C331" s="126">
        <v>1500</v>
      </c>
      <c r="D331" s="125"/>
      <c r="E331" s="126"/>
      <c r="F331" s="125"/>
      <c r="G331" s="126"/>
      <c r="H331" s="127">
        <v>8</v>
      </c>
      <c r="I331" s="146"/>
      <c r="J331" s="54" t="s">
        <v>634</v>
      </c>
      <c r="K331" s="54">
        <f>SUM(C316,C317,C319,C322,C326,C331)</f>
        <v>14758.970000000001</v>
      </c>
    </row>
    <row r="332" spans="1:11">
      <c r="A332" s="128"/>
      <c r="B332" s="125" t="s">
        <v>893</v>
      </c>
      <c r="C332" s="105">
        <v>8500</v>
      </c>
      <c r="D332" s="22">
        <v>6500</v>
      </c>
      <c r="E332" s="126"/>
      <c r="F332" s="125"/>
      <c r="G332" s="126"/>
      <c r="H332" s="127">
        <v>6</v>
      </c>
      <c r="I332" s="146"/>
      <c r="J332" s="54" t="s">
        <v>636</v>
      </c>
      <c r="K332" s="63">
        <f>SUM(C330)</f>
        <v>1000</v>
      </c>
    </row>
    <row r="333" spans="1:11">
      <c r="A333" s="128"/>
      <c r="B333" s="125" t="s">
        <v>806</v>
      </c>
      <c r="C333" s="126">
        <v>6000</v>
      </c>
      <c r="D333" s="125"/>
      <c r="E333" s="126"/>
      <c r="F333" s="125"/>
      <c r="G333" s="126"/>
      <c r="H333" s="127">
        <v>3</v>
      </c>
      <c r="I333" s="146"/>
      <c r="J333" s="54" t="s">
        <v>638</v>
      </c>
      <c r="K333" s="54">
        <f>SUM(G315,G323,G324,G325,G328,G329)</f>
        <v>113355.40000000001</v>
      </c>
    </row>
    <row r="334" spans="1:11">
      <c r="A334" s="156" t="s">
        <v>883</v>
      </c>
      <c r="B334" s="157" t="s">
        <v>882</v>
      </c>
      <c r="C334" s="158">
        <f>SUM(C315:C333)</f>
        <v>44366.28</v>
      </c>
      <c r="D334" s="157">
        <f>SUM(D315:D333)</f>
        <v>10244.200000000001</v>
      </c>
      <c r="E334" s="158"/>
      <c r="F334" s="157"/>
      <c r="G334" s="158">
        <f>SUM(G315:G333)</f>
        <v>113355.40000000001</v>
      </c>
      <c r="H334" s="157"/>
      <c r="I334" s="171">
        <f>SUM(C334:H334)</f>
        <v>167965.88</v>
      </c>
      <c r="J334" s="172" t="s">
        <v>883</v>
      </c>
      <c r="K334" s="173">
        <f>SUM(K321:K333)</f>
        <v>167965.88</v>
      </c>
    </row>
    <row r="335" spans="1:11">
      <c r="A335" s="128"/>
      <c r="B335" s="125"/>
      <c r="C335" s="126"/>
      <c r="D335" s="125"/>
      <c r="E335" s="126"/>
      <c r="F335" s="125"/>
      <c r="G335" s="126"/>
      <c r="H335" s="125"/>
      <c r="I335" s="146"/>
      <c r="J335" s="54"/>
      <c r="K335" s="54"/>
    </row>
    <row r="336" spans="1:11">
      <c r="A336" s="128"/>
      <c r="B336" s="125"/>
      <c r="C336" s="126"/>
      <c r="D336" s="125"/>
      <c r="E336" s="126"/>
      <c r="F336" s="125"/>
      <c r="G336" s="126"/>
      <c r="H336" s="125"/>
      <c r="I336" s="146"/>
      <c r="J336" s="54"/>
      <c r="K336" s="54"/>
    </row>
    <row r="337" spans="1:11">
      <c r="A337" s="128"/>
      <c r="B337" s="125"/>
      <c r="C337" s="126"/>
      <c r="D337" s="125"/>
      <c r="E337" s="126"/>
      <c r="F337" s="125"/>
      <c r="G337" s="126"/>
      <c r="H337" s="125"/>
      <c r="I337" s="146"/>
      <c r="J337" s="54"/>
      <c r="K337" s="54"/>
    </row>
    <row r="338" spans="1:11">
      <c r="A338" s="128"/>
      <c r="B338" s="125"/>
      <c r="C338" s="126"/>
      <c r="D338" s="125"/>
      <c r="E338" s="126"/>
      <c r="F338" s="125"/>
      <c r="G338" s="126"/>
      <c r="H338" s="125"/>
      <c r="I338" s="146"/>
      <c r="J338" s="54"/>
      <c r="K338" s="54"/>
    </row>
    <row r="339" spans="1:11">
      <c r="A339" s="128"/>
      <c r="B339" s="125"/>
      <c r="C339" s="126"/>
      <c r="D339" s="125"/>
      <c r="E339" s="126"/>
      <c r="F339" s="125"/>
      <c r="G339" s="126"/>
      <c r="H339" s="125"/>
      <c r="I339" s="146"/>
      <c r="J339" s="54"/>
      <c r="K339" s="54"/>
    </row>
    <row r="340" spans="1:11">
      <c r="A340" s="128"/>
      <c r="B340" s="125"/>
      <c r="C340" s="126"/>
      <c r="D340" s="125"/>
      <c r="E340" s="126"/>
      <c r="F340" s="125"/>
      <c r="G340" s="126"/>
      <c r="H340" s="125"/>
      <c r="I340" s="146"/>
    </row>
    <row r="341" spans="1:11">
      <c r="A341" s="152"/>
      <c r="B341" s="125"/>
      <c r="C341" s="126"/>
      <c r="D341" s="125"/>
      <c r="E341" s="126"/>
      <c r="F341" s="125"/>
      <c r="G341" s="126"/>
      <c r="H341" s="125"/>
      <c r="I341" s="51"/>
    </row>
    <row r="342" spans="1:11" ht="15.75">
      <c r="A342" s="332" t="s">
        <v>938</v>
      </c>
      <c r="B342" s="18"/>
      <c r="C342" s="17"/>
      <c r="D342" s="23"/>
      <c r="E342" s="18"/>
      <c r="F342" s="18"/>
      <c r="G342" s="30"/>
      <c r="H342" s="30"/>
      <c r="I342" s="51"/>
    </row>
    <row r="343" spans="1:11" ht="15.75">
      <c r="A343" s="333" t="s">
        <v>939</v>
      </c>
      <c r="B343" s="14"/>
      <c r="C343" s="32"/>
      <c r="D343" s="66"/>
      <c r="E343" s="18"/>
      <c r="F343" s="18"/>
      <c r="G343" s="30"/>
      <c r="H343" s="31"/>
      <c r="I343" s="61">
        <f>SUM(C344:H344)</f>
        <v>0</v>
      </c>
    </row>
    <row r="344" spans="1:11">
      <c r="A344" s="86"/>
      <c r="B344" s="34"/>
      <c r="C344" s="89"/>
      <c r="D344" s="89"/>
      <c r="E344" s="89"/>
      <c r="F344" s="89">
        <f>SUM(F321:F343)</f>
        <v>0</v>
      </c>
      <c r="G344" s="89"/>
      <c r="H344" s="43"/>
      <c r="I344" s="117"/>
    </row>
    <row r="345" spans="1:11">
      <c r="A345" s="37">
        <v>45659</v>
      </c>
      <c r="B345" s="102" t="s">
        <v>940</v>
      </c>
      <c r="C345" s="103">
        <v>8635.2800000000007</v>
      </c>
      <c r="D345" s="104">
        <v>1694.5</v>
      </c>
      <c r="E345" s="103"/>
      <c r="F345" s="104"/>
      <c r="G345" s="103"/>
      <c r="H345" s="102">
        <v>7</v>
      </c>
      <c r="I345" s="120"/>
      <c r="J345" s="62" t="s">
        <v>939</v>
      </c>
      <c r="K345" s="54" t="s">
        <v>661</v>
      </c>
    </row>
    <row r="346" spans="1:11">
      <c r="A346" s="107">
        <v>45661</v>
      </c>
      <c r="B346" s="74" t="s">
        <v>941</v>
      </c>
      <c r="C346" s="105">
        <v>14790.18</v>
      </c>
      <c r="D346" s="22"/>
      <c r="E346" s="105"/>
      <c r="F346" s="22"/>
      <c r="G346" s="105"/>
      <c r="H346" s="74">
        <v>2</v>
      </c>
      <c r="I346" s="120"/>
      <c r="J346" s="53" t="s">
        <v>613</v>
      </c>
      <c r="K346" s="54">
        <f>SUM(C354)</f>
        <v>5000</v>
      </c>
    </row>
    <row r="347" spans="1:11">
      <c r="A347" s="106"/>
      <c r="B347" s="74" t="s">
        <v>942</v>
      </c>
      <c r="C347" s="105">
        <v>350</v>
      </c>
      <c r="D347" s="22"/>
      <c r="E347" s="105"/>
      <c r="F347" s="22"/>
      <c r="G347" s="105"/>
      <c r="H347" s="74">
        <v>2</v>
      </c>
      <c r="I347" s="120"/>
      <c r="J347" s="55" t="s">
        <v>615</v>
      </c>
      <c r="K347" s="54">
        <f>SUM(C346,C347,C348,C353)</f>
        <v>24384.18</v>
      </c>
    </row>
    <row r="348" spans="1:11">
      <c r="A348" s="106"/>
      <c r="B348" s="74" t="s">
        <v>962</v>
      </c>
      <c r="C348" s="105">
        <v>45</v>
      </c>
      <c r="D348" s="22"/>
      <c r="E348" s="105"/>
      <c r="F348" s="22"/>
      <c r="G348" s="105"/>
      <c r="H348" s="74">
        <v>2</v>
      </c>
      <c r="I348" s="120"/>
      <c r="J348" s="56" t="s">
        <v>617</v>
      </c>
      <c r="K348" s="54">
        <f>SUM(C368)</f>
        <v>6500</v>
      </c>
    </row>
    <row r="349" spans="1:11">
      <c r="A349" s="107">
        <v>45666</v>
      </c>
      <c r="B349" s="74" t="s">
        <v>943</v>
      </c>
      <c r="C349" s="105">
        <v>300</v>
      </c>
      <c r="D349" s="22"/>
      <c r="E349" s="105"/>
      <c r="F349" s="22"/>
      <c r="G349" s="105"/>
      <c r="H349" s="74">
        <v>5</v>
      </c>
      <c r="I349" s="120"/>
      <c r="J349" s="57" t="s">
        <v>619</v>
      </c>
      <c r="K349" s="54"/>
    </row>
    <row r="350" spans="1:11">
      <c r="A350" s="106"/>
      <c r="B350" s="74" t="s">
        <v>944</v>
      </c>
      <c r="C350" s="105">
        <v>570</v>
      </c>
      <c r="D350" s="22"/>
      <c r="E350" s="105"/>
      <c r="F350" s="22"/>
      <c r="G350" s="105"/>
      <c r="H350" s="74" t="s">
        <v>648</v>
      </c>
      <c r="I350" s="120"/>
      <c r="J350" s="58" t="s">
        <v>621</v>
      </c>
      <c r="K350" s="54">
        <f>SUM(C349)</f>
        <v>300</v>
      </c>
    </row>
    <row r="351" spans="1:11">
      <c r="A351" s="106"/>
      <c r="B351" s="74" t="s">
        <v>945</v>
      </c>
      <c r="C351" s="105">
        <v>714</v>
      </c>
      <c r="D351" s="22"/>
      <c r="E351" s="105"/>
      <c r="F351" s="22"/>
      <c r="G351" s="105"/>
      <c r="H351" s="74">
        <v>7</v>
      </c>
      <c r="I351" s="120"/>
      <c r="J351" s="54" t="s">
        <v>623</v>
      </c>
      <c r="K351" s="54">
        <f>SUM(C367,D367)</f>
        <v>16500</v>
      </c>
    </row>
    <row r="352" spans="1:11">
      <c r="A352" s="106"/>
      <c r="B352" s="74" t="s">
        <v>946</v>
      </c>
      <c r="C352" s="105">
        <v>1500</v>
      </c>
      <c r="D352" s="22"/>
      <c r="E352" s="105"/>
      <c r="F352" s="22"/>
      <c r="G352" s="105"/>
      <c r="H352" s="74" t="s">
        <v>680</v>
      </c>
      <c r="I352" s="120"/>
      <c r="J352" s="54" t="s">
        <v>625</v>
      </c>
      <c r="K352" s="54">
        <f>SUM(C352,C366)</f>
        <v>3000</v>
      </c>
    </row>
    <row r="353" spans="1:11">
      <c r="A353" s="107">
        <v>45670</v>
      </c>
      <c r="B353" s="74" t="s">
        <v>947</v>
      </c>
      <c r="C353" s="105">
        <v>9199</v>
      </c>
      <c r="D353" s="22"/>
      <c r="E353" s="105"/>
      <c r="F353" s="22"/>
      <c r="G353" s="105"/>
      <c r="H353" s="74">
        <v>2</v>
      </c>
      <c r="I353" s="120"/>
      <c r="J353" s="54" t="s">
        <v>627</v>
      </c>
      <c r="K353" s="54">
        <f>SUM(C350)</f>
        <v>570</v>
      </c>
    </row>
    <row r="354" spans="1:11">
      <c r="A354" s="106"/>
      <c r="B354" s="74" t="s">
        <v>948</v>
      </c>
      <c r="C354" s="105">
        <v>5000</v>
      </c>
      <c r="D354" s="22"/>
      <c r="E354" s="105"/>
      <c r="F354" s="22"/>
      <c r="G354" s="105"/>
      <c r="H354" s="74">
        <v>1</v>
      </c>
      <c r="I354" s="120"/>
      <c r="J354" s="54" t="s">
        <v>629</v>
      </c>
      <c r="K354" s="54"/>
    </row>
    <row r="355" spans="1:11">
      <c r="A355" s="106"/>
      <c r="B355" s="74" t="s">
        <v>949</v>
      </c>
      <c r="C355" s="105"/>
      <c r="D355" s="22"/>
      <c r="E355" s="105"/>
      <c r="F355" s="22"/>
      <c r="G355" s="105">
        <v>15000</v>
      </c>
      <c r="H355" s="74">
        <v>10</v>
      </c>
      <c r="I355" s="120"/>
      <c r="J355" s="54" t="s">
        <v>631</v>
      </c>
      <c r="K355" s="54">
        <f>SUM(C345,D345,C351,C359)</f>
        <v>13043.78</v>
      </c>
    </row>
    <row r="356" spans="1:11">
      <c r="A356" s="106"/>
      <c r="B356" s="74" t="s">
        <v>825</v>
      </c>
      <c r="C356" s="105"/>
      <c r="D356" s="22"/>
      <c r="E356" s="105"/>
      <c r="F356" s="22"/>
      <c r="G356" s="105">
        <v>15000</v>
      </c>
      <c r="H356" s="74">
        <v>10</v>
      </c>
      <c r="I356" s="120"/>
      <c r="J356" s="54" t="s">
        <v>634</v>
      </c>
      <c r="K356" s="54">
        <f>SUM(C360,C362,F363,F364)</f>
        <v>8469.5</v>
      </c>
    </row>
    <row r="357" spans="1:11">
      <c r="A357" s="106"/>
      <c r="B357" s="74" t="s">
        <v>950</v>
      </c>
      <c r="C357" s="105"/>
      <c r="D357" s="22"/>
      <c r="E357" s="105"/>
      <c r="F357" s="22"/>
      <c r="G357" s="105">
        <v>25000</v>
      </c>
      <c r="H357" s="74">
        <v>10</v>
      </c>
      <c r="I357" s="120"/>
      <c r="J357" s="54" t="s">
        <v>636</v>
      </c>
      <c r="K357" s="63"/>
    </row>
    <row r="358" spans="1:11">
      <c r="A358" s="106"/>
      <c r="B358" s="74" t="s">
        <v>951</v>
      </c>
      <c r="C358" s="105"/>
      <c r="D358" s="22"/>
      <c r="E358" s="105"/>
      <c r="F358" s="22"/>
      <c r="G358" s="105">
        <v>25000</v>
      </c>
      <c r="H358" s="74">
        <v>10</v>
      </c>
      <c r="I358" s="120"/>
      <c r="J358" s="54" t="s">
        <v>638</v>
      </c>
      <c r="K358" s="54">
        <f>SUM(G355,G356,G357,G358,G361,G365)</f>
        <v>155394.96</v>
      </c>
    </row>
    <row r="359" spans="1:11">
      <c r="A359" s="107">
        <v>45675</v>
      </c>
      <c r="B359" s="74" t="s">
        <v>692</v>
      </c>
      <c r="C359" s="105">
        <v>2000</v>
      </c>
      <c r="D359" s="22"/>
      <c r="E359" s="105"/>
      <c r="F359" s="22"/>
      <c r="G359" s="105"/>
      <c r="H359" s="74">
        <v>7</v>
      </c>
      <c r="I359" s="120"/>
      <c r="J359" s="62" t="s">
        <v>939</v>
      </c>
      <c r="K359" s="65">
        <f>SUM(K346:K358)</f>
        <v>233162.41999999998</v>
      </c>
    </row>
    <row r="360" spans="1:11">
      <c r="A360" s="107">
        <v>45679</v>
      </c>
      <c r="B360" s="74" t="s">
        <v>952</v>
      </c>
      <c r="C360" s="105">
        <v>701</v>
      </c>
      <c r="D360" s="22"/>
      <c r="E360" s="105"/>
      <c r="F360" s="22"/>
      <c r="G360" s="105"/>
      <c r="H360" s="74">
        <v>8</v>
      </c>
      <c r="I360" s="120"/>
      <c r="J360" s="54"/>
      <c r="K360" s="54"/>
    </row>
    <row r="361" spans="1:11">
      <c r="A361" s="106"/>
      <c r="B361" s="74" t="s">
        <v>953</v>
      </c>
      <c r="C361" s="105"/>
      <c r="D361" s="22"/>
      <c r="E361" s="105"/>
      <c r="F361" s="22"/>
      <c r="G361" s="105">
        <v>37716.559999999998</v>
      </c>
      <c r="H361" s="74">
        <v>10</v>
      </c>
      <c r="I361" s="120"/>
      <c r="J361" s="54"/>
      <c r="K361" s="54"/>
    </row>
    <row r="362" spans="1:11">
      <c r="A362" s="107">
        <v>45682</v>
      </c>
      <c r="B362" s="74" t="s">
        <v>954</v>
      </c>
      <c r="C362" s="105">
        <v>3499</v>
      </c>
      <c r="D362" s="22"/>
      <c r="E362" s="105"/>
      <c r="F362" s="22"/>
      <c r="G362" s="105"/>
      <c r="H362" s="74">
        <v>8</v>
      </c>
      <c r="I362" s="120"/>
      <c r="J362" s="54"/>
      <c r="K362" s="54"/>
    </row>
    <row r="363" spans="1:11">
      <c r="A363" s="107">
        <v>45684</v>
      </c>
      <c r="B363" s="74" t="s">
        <v>955</v>
      </c>
      <c r="C363" s="105"/>
      <c r="D363" s="22"/>
      <c r="E363" s="105"/>
      <c r="F363" s="22">
        <v>3769.5</v>
      </c>
      <c r="G363" s="105"/>
      <c r="H363" s="74">
        <v>8</v>
      </c>
      <c r="I363" s="120"/>
      <c r="J363" s="54"/>
      <c r="K363" s="54"/>
    </row>
    <row r="364" spans="1:11">
      <c r="A364" s="106"/>
      <c r="B364" s="74" t="s">
        <v>956</v>
      </c>
      <c r="C364" s="105"/>
      <c r="D364" s="22"/>
      <c r="E364" s="105"/>
      <c r="F364" s="22">
        <v>500</v>
      </c>
      <c r="G364" s="105"/>
      <c r="H364" s="74">
        <v>8</v>
      </c>
      <c r="I364" s="120"/>
      <c r="J364" s="54"/>
      <c r="K364" s="54"/>
    </row>
    <row r="365" spans="1:11">
      <c r="A365" s="107">
        <v>45687</v>
      </c>
      <c r="B365" s="74" t="s">
        <v>953</v>
      </c>
      <c r="C365" s="105"/>
      <c r="D365" s="22"/>
      <c r="E365" s="105"/>
      <c r="F365" s="22"/>
      <c r="G365" s="105">
        <v>37678.400000000001</v>
      </c>
      <c r="H365" s="74">
        <v>10</v>
      </c>
      <c r="I365" s="120"/>
    </row>
    <row r="366" spans="1:11">
      <c r="A366" s="37"/>
      <c r="B366" s="74" t="s">
        <v>957</v>
      </c>
      <c r="C366" s="105">
        <v>1500</v>
      </c>
      <c r="D366" s="22"/>
      <c r="E366" s="105"/>
      <c r="F366" s="22"/>
      <c r="G366" s="105"/>
      <c r="H366" s="74" t="s">
        <v>680</v>
      </c>
      <c r="I366" s="51"/>
    </row>
    <row r="367" spans="1:11">
      <c r="A367" s="46">
        <v>45688</v>
      </c>
      <c r="B367" s="14" t="s">
        <v>958</v>
      </c>
      <c r="C367" s="17">
        <v>10000</v>
      </c>
      <c r="D367" s="23">
        <v>6500</v>
      </c>
      <c r="E367" s="18"/>
      <c r="F367" s="18"/>
      <c r="G367" s="30"/>
      <c r="H367" s="31">
        <v>6</v>
      </c>
      <c r="I367" s="51"/>
    </row>
    <row r="368" spans="1:11">
      <c r="A368" s="33"/>
      <c r="B368" s="14" t="s">
        <v>959</v>
      </c>
      <c r="C368" s="32">
        <v>6500</v>
      </c>
      <c r="D368" s="66"/>
      <c r="E368" s="18"/>
      <c r="F368" s="18"/>
      <c r="G368" s="30"/>
      <c r="H368" s="31">
        <v>3</v>
      </c>
      <c r="I368" s="61"/>
    </row>
    <row r="369" spans="1:12">
      <c r="A369" s="334" t="s">
        <v>961</v>
      </c>
      <c r="B369" s="335" t="s">
        <v>960</v>
      </c>
      <c r="C369" s="336">
        <f>SUM(C345:C368)</f>
        <v>65303.46</v>
      </c>
      <c r="D369" s="336">
        <f>SUM(D345:D368)</f>
        <v>8194.5</v>
      </c>
      <c r="E369" s="336"/>
      <c r="F369" s="336">
        <f>SUM(F345:F368)</f>
        <v>4269.5</v>
      </c>
      <c r="G369" s="336">
        <f>SUM(G345:G368)</f>
        <v>155394.96</v>
      </c>
      <c r="H369" s="337"/>
      <c r="I369" s="338">
        <f>SUM(C369:G369)</f>
        <v>233162.41999999998</v>
      </c>
    </row>
    <row r="370" spans="1:12">
      <c r="A370" s="341" t="s">
        <v>1003</v>
      </c>
      <c r="J370" s="172" t="s">
        <v>1003</v>
      </c>
      <c r="K370" s="54" t="s">
        <v>661</v>
      </c>
    </row>
    <row r="371" spans="1:12">
      <c r="A371" s="101">
        <v>45691</v>
      </c>
      <c r="B371" s="342" t="s">
        <v>1004</v>
      </c>
      <c r="C371" s="126">
        <v>500</v>
      </c>
      <c r="D371" s="126"/>
      <c r="E371" s="126"/>
      <c r="F371" s="126"/>
      <c r="G371" s="126"/>
      <c r="H371" s="346">
        <v>9</v>
      </c>
      <c r="I371" s="126"/>
      <c r="J371" s="53" t="s">
        <v>613</v>
      </c>
      <c r="K371" s="54"/>
      <c r="L371" s="126">
        <f>SUM(K346,K371)</f>
        <v>5000</v>
      </c>
    </row>
    <row r="372" spans="1:12">
      <c r="A372" s="101">
        <v>45692</v>
      </c>
      <c r="B372" s="342" t="s">
        <v>953</v>
      </c>
      <c r="C372" s="126"/>
      <c r="D372" s="126"/>
      <c r="E372" s="126"/>
      <c r="F372" s="126"/>
      <c r="G372" s="126">
        <v>37813.83</v>
      </c>
      <c r="H372" s="346">
        <v>10</v>
      </c>
      <c r="I372" s="126"/>
      <c r="J372" s="55" t="s">
        <v>615</v>
      </c>
      <c r="K372" s="54"/>
      <c r="L372" s="126">
        <f t="shared" ref="L372:L383" si="0">SUM(K347,K372)</f>
        <v>24384.18</v>
      </c>
    </row>
    <row r="373" spans="1:12">
      <c r="A373" s="342"/>
      <c r="B373" s="342" t="s">
        <v>1005</v>
      </c>
      <c r="C373" s="126">
        <v>6595.08</v>
      </c>
      <c r="D373" s="126">
        <v>1015.58</v>
      </c>
      <c r="E373" s="126"/>
      <c r="F373" s="126"/>
      <c r="G373" s="126"/>
      <c r="H373" s="346">
        <v>7</v>
      </c>
      <c r="I373" s="126"/>
      <c r="J373" s="56" t="s">
        <v>617</v>
      </c>
      <c r="K373" s="54">
        <f>SUM(C387)</f>
        <v>6500</v>
      </c>
      <c r="L373" s="126">
        <f t="shared" si="0"/>
        <v>13000</v>
      </c>
    </row>
    <row r="374" spans="1:12">
      <c r="A374" s="342"/>
      <c r="B374" s="342" t="s">
        <v>1006</v>
      </c>
      <c r="C374" s="126">
        <v>15.6</v>
      </c>
      <c r="D374" s="126"/>
      <c r="E374" s="126"/>
      <c r="F374" s="126"/>
      <c r="G374" s="126"/>
      <c r="H374" s="346">
        <v>7</v>
      </c>
      <c r="I374" s="126"/>
      <c r="J374" s="57" t="s">
        <v>619</v>
      </c>
      <c r="K374" s="54"/>
      <c r="L374" s="126">
        <f t="shared" si="0"/>
        <v>0</v>
      </c>
    </row>
    <row r="375" spans="1:12">
      <c r="A375" s="101">
        <v>45698</v>
      </c>
      <c r="B375" s="342" t="s">
        <v>1008</v>
      </c>
      <c r="C375" s="126">
        <v>714</v>
      </c>
      <c r="D375" s="126"/>
      <c r="E375" s="126"/>
      <c r="F375" s="126"/>
      <c r="G375" s="126"/>
      <c r="H375" s="346">
        <v>7</v>
      </c>
      <c r="I375" s="126"/>
      <c r="J375" s="58" t="s">
        <v>621</v>
      </c>
      <c r="K375" s="54"/>
      <c r="L375" s="126">
        <f t="shared" si="0"/>
        <v>300</v>
      </c>
    </row>
    <row r="376" spans="1:12">
      <c r="A376" s="101">
        <v>45707</v>
      </c>
      <c r="B376" s="342" t="s">
        <v>1007</v>
      </c>
      <c r="C376" s="126">
        <v>8000</v>
      </c>
      <c r="D376" s="126">
        <v>6000</v>
      </c>
      <c r="E376" s="126"/>
      <c r="F376" s="126"/>
      <c r="G376" s="126"/>
      <c r="H376" s="346">
        <v>10</v>
      </c>
      <c r="I376" s="126"/>
      <c r="J376" s="54" t="s">
        <v>623</v>
      </c>
      <c r="K376" s="54">
        <f>SUM(C386,D386)</f>
        <v>16500</v>
      </c>
      <c r="L376" s="126">
        <f t="shared" si="0"/>
        <v>33000</v>
      </c>
    </row>
    <row r="377" spans="1:12">
      <c r="A377" s="101">
        <v>45708</v>
      </c>
      <c r="B377" s="342" t="s">
        <v>1009</v>
      </c>
      <c r="C377" s="126">
        <v>760</v>
      </c>
      <c r="D377" s="126"/>
      <c r="E377" s="126"/>
      <c r="F377" s="126"/>
      <c r="G377" s="126"/>
      <c r="H377" s="346" t="s">
        <v>648</v>
      </c>
      <c r="I377" s="126"/>
      <c r="J377" s="54" t="s">
        <v>625</v>
      </c>
      <c r="K377" s="54"/>
      <c r="L377" s="126">
        <f t="shared" si="0"/>
        <v>3000</v>
      </c>
    </row>
    <row r="378" spans="1:12">
      <c r="A378" s="101">
        <v>45709</v>
      </c>
      <c r="B378" s="342" t="s">
        <v>1010</v>
      </c>
      <c r="C378" s="126"/>
      <c r="D378" s="126"/>
      <c r="E378" s="126"/>
      <c r="F378" s="126">
        <v>1500</v>
      </c>
      <c r="G378" s="126"/>
      <c r="H378" s="346">
        <v>8</v>
      </c>
      <c r="I378" s="126"/>
      <c r="J378" s="54" t="s">
        <v>627</v>
      </c>
      <c r="K378" s="54">
        <f>SUM(C377)</f>
        <v>760</v>
      </c>
      <c r="L378" s="126">
        <f t="shared" si="0"/>
        <v>1330</v>
      </c>
    </row>
    <row r="379" spans="1:12">
      <c r="A379" s="101">
        <v>45711</v>
      </c>
      <c r="B379" s="342" t="s">
        <v>692</v>
      </c>
      <c r="C379" s="126">
        <v>2000</v>
      </c>
      <c r="D379" s="126"/>
      <c r="E379" s="126"/>
      <c r="F379" s="126"/>
      <c r="G379" s="126"/>
      <c r="H379" s="346">
        <v>7</v>
      </c>
      <c r="I379" s="126"/>
      <c r="J379" s="54" t="s">
        <v>629</v>
      </c>
      <c r="K379" s="54"/>
      <c r="L379" s="126">
        <f t="shared" si="0"/>
        <v>0</v>
      </c>
    </row>
    <row r="380" spans="1:12">
      <c r="A380" s="101">
        <v>45715</v>
      </c>
      <c r="B380" s="342" t="s">
        <v>1011</v>
      </c>
      <c r="C380" s="126"/>
      <c r="D380" s="126"/>
      <c r="E380" s="126"/>
      <c r="F380" s="126"/>
      <c r="G380" s="126">
        <v>20000</v>
      </c>
      <c r="H380" s="346">
        <v>10</v>
      </c>
      <c r="I380" s="126"/>
      <c r="J380" s="54" t="s">
        <v>631</v>
      </c>
      <c r="K380" s="54">
        <f>SUM(C373,D373,C374,C375,C379)</f>
        <v>10340.26</v>
      </c>
      <c r="L380" s="126">
        <f t="shared" si="0"/>
        <v>23384.04</v>
      </c>
    </row>
    <row r="381" spans="1:12">
      <c r="A381" s="342"/>
      <c r="B381" s="342" t="s">
        <v>1012</v>
      </c>
      <c r="C381" s="126"/>
      <c r="D381" s="126"/>
      <c r="E381" s="126"/>
      <c r="F381" s="126"/>
      <c r="G381" s="126">
        <v>2000</v>
      </c>
      <c r="H381" s="346">
        <v>10</v>
      </c>
      <c r="I381" s="126"/>
      <c r="J381" s="54" t="s">
        <v>634</v>
      </c>
      <c r="K381" s="54">
        <f>SUM(F378)</f>
        <v>1500</v>
      </c>
      <c r="L381" s="126">
        <f t="shared" si="0"/>
        <v>9969.5</v>
      </c>
    </row>
    <row r="382" spans="1:12">
      <c r="A382" s="342"/>
      <c r="B382" s="342" t="s">
        <v>823</v>
      </c>
      <c r="C382" s="126"/>
      <c r="D382" s="126"/>
      <c r="E382" s="126"/>
      <c r="F382" s="126"/>
      <c r="G382" s="126">
        <v>15000</v>
      </c>
      <c r="H382" s="346">
        <v>10</v>
      </c>
      <c r="I382" s="126"/>
      <c r="J382" s="54" t="s">
        <v>636</v>
      </c>
      <c r="K382" s="63">
        <f>SUM(C371)</f>
        <v>500</v>
      </c>
      <c r="L382" s="126">
        <f t="shared" si="0"/>
        <v>500</v>
      </c>
    </row>
    <row r="383" spans="1:12">
      <c r="A383" s="342"/>
      <c r="B383" s="342" t="s">
        <v>1013</v>
      </c>
      <c r="C383" s="126"/>
      <c r="D383" s="126"/>
      <c r="E383" s="126"/>
      <c r="F383" s="126"/>
      <c r="G383" s="126">
        <v>15000</v>
      </c>
      <c r="H383" s="346">
        <v>10</v>
      </c>
      <c r="I383" s="126"/>
      <c r="J383" s="54" t="s">
        <v>638</v>
      </c>
      <c r="K383" s="54">
        <f>SUM(G372,C376,D376,G380,G381,G382,G383,G384,G385)</f>
        <v>150138.54999999999</v>
      </c>
      <c r="L383" s="126">
        <f t="shared" si="0"/>
        <v>305533.51</v>
      </c>
    </row>
    <row r="384" spans="1:12" ht="15.75" thickBot="1">
      <c r="A384" s="342"/>
      <c r="B384" s="342" t="s">
        <v>1014</v>
      </c>
      <c r="C384" s="126"/>
      <c r="D384" s="126"/>
      <c r="E384" s="126"/>
      <c r="F384" s="126"/>
      <c r="G384" s="126">
        <v>15000</v>
      </c>
      <c r="H384" s="346">
        <v>10</v>
      </c>
      <c r="I384" s="126"/>
      <c r="J384" s="172" t="s">
        <v>1003</v>
      </c>
      <c r="K384" s="173">
        <f>SUM(K371:K383)</f>
        <v>186238.81</v>
      </c>
      <c r="L384" s="344">
        <f>SUM(L371:L383)</f>
        <v>419401.23</v>
      </c>
    </row>
    <row r="385" spans="1:14" ht="15.75" thickTop="1">
      <c r="A385" s="101">
        <v>45716</v>
      </c>
      <c r="B385" s="342" t="s">
        <v>1015</v>
      </c>
      <c r="C385" s="126"/>
      <c r="D385" s="126"/>
      <c r="E385" s="126"/>
      <c r="F385" s="126"/>
      <c r="G385" s="126">
        <v>31324.720000000001</v>
      </c>
      <c r="H385" s="346">
        <v>10</v>
      </c>
      <c r="I385" s="126"/>
      <c r="J385" s="343"/>
      <c r="K385" s="340"/>
      <c r="L385" s="344">
        <f>SUM(K359,K384)</f>
        <v>419401.23</v>
      </c>
    </row>
    <row r="386" spans="1:14">
      <c r="A386" s="342"/>
      <c r="B386" s="14" t="s">
        <v>1016</v>
      </c>
      <c r="C386" s="17">
        <v>10000</v>
      </c>
      <c r="D386" s="23">
        <v>6500</v>
      </c>
      <c r="E386" s="126"/>
      <c r="F386" s="126"/>
      <c r="G386" s="126"/>
      <c r="H386" s="346">
        <v>6</v>
      </c>
      <c r="I386" s="126"/>
      <c r="J386" s="342"/>
    </row>
    <row r="387" spans="1:14">
      <c r="A387" s="342"/>
      <c r="B387" s="14" t="s">
        <v>959</v>
      </c>
      <c r="C387" s="32">
        <v>6500</v>
      </c>
      <c r="D387" s="23"/>
      <c r="E387" s="126"/>
      <c r="F387" s="126"/>
      <c r="G387" s="126"/>
      <c r="H387" s="346">
        <v>3</v>
      </c>
      <c r="I387" s="126"/>
      <c r="J387" s="342"/>
    </row>
    <row r="388" spans="1:14">
      <c r="A388" s="345" t="s">
        <v>1003</v>
      </c>
      <c r="B388" s="345" t="s">
        <v>1017</v>
      </c>
      <c r="C388" s="158">
        <f>SUM(C371:C387)</f>
        <v>35084.68</v>
      </c>
      <c r="D388" s="158">
        <f>SUM(D371:D387)</f>
        <v>13515.58</v>
      </c>
      <c r="E388" s="158"/>
      <c r="F388" s="158">
        <f>SUM(F378:F387)</f>
        <v>1500</v>
      </c>
      <c r="G388" s="158">
        <f>SUM(G372:G387)</f>
        <v>136138.54999999999</v>
      </c>
      <c r="H388" s="158"/>
      <c r="I388" s="158">
        <f>SUM(C388:G388)</f>
        <v>186238.81</v>
      </c>
      <c r="J388" s="342"/>
    </row>
    <row r="389" spans="1:14">
      <c r="A389" s="343" t="s">
        <v>1018</v>
      </c>
      <c r="B389" s="342"/>
      <c r="C389" s="126"/>
      <c r="D389" s="126"/>
      <c r="E389" s="126"/>
      <c r="F389" s="126"/>
      <c r="G389" s="126"/>
      <c r="H389" s="126"/>
      <c r="I389" s="126"/>
      <c r="J389" s="342"/>
    </row>
    <row r="390" spans="1:14">
      <c r="A390" s="101">
        <v>45720</v>
      </c>
      <c r="B390" s="342" t="s">
        <v>1019</v>
      </c>
      <c r="C390" s="126"/>
      <c r="D390" s="126">
        <v>1040</v>
      </c>
      <c r="E390" s="126"/>
      <c r="F390" s="126"/>
      <c r="G390" s="126"/>
      <c r="H390" s="346">
        <v>10</v>
      </c>
      <c r="I390" s="126"/>
      <c r="J390" s="342"/>
    </row>
    <row r="391" spans="1:14">
      <c r="A391" s="342"/>
      <c r="B391" s="342" t="s">
        <v>1020</v>
      </c>
      <c r="C391" s="126">
        <v>6585.15</v>
      </c>
      <c r="D391" s="126">
        <v>1084.8599999999999</v>
      </c>
      <c r="E391" s="126"/>
      <c r="F391" s="126"/>
      <c r="G391" s="126"/>
      <c r="H391" s="346">
        <v>7</v>
      </c>
      <c r="I391" s="126"/>
      <c r="J391" s="172" t="s">
        <v>1041</v>
      </c>
      <c r="K391" s="54" t="s">
        <v>661</v>
      </c>
    </row>
    <row r="392" spans="1:14">
      <c r="A392" s="342"/>
      <c r="B392" s="342" t="s">
        <v>1021</v>
      </c>
      <c r="C392" s="126">
        <v>15.5</v>
      </c>
      <c r="D392" s="126"/>
      <c r="E392" s="126"/>
      <c r="F392" s="126"/>
      <c r="G392" s="126"/>
      <c r="H392" s="346">
        <v>7</v>
      </c>
      <c r="I392" s="126"/>
      <c r="J392" s="53" t="s">
        <v>613</v>
      </c>
      <c r="K392" s="54"/>
      <c r="L392" s="126">
        <f>SUM(L371,K392)</f>
        <v>5000</v>
      </c>
    </row>
    <row r="393" spans="1:14">
      <c r="A393" s="342"/>
      <c r="B393" s="342" t="s">
        <v>1022</v>
      </c>
      <c r="C393" s="126">
        <v>714</v>
      </c>
      <c r="D393" s="126"/>
      <c r="E393" s="126"/>
      <c r="F393" s="126"/>
      <c r="G393" s="126"/>
      <c r="H393" s="346">
        <v>7</v>
      </c>
      <c r="I393" s="126"/>
      <c r="J393" s="55" t="s">
        <v>615</v>
      </c>
      <c r="K393" s="54">
        <f>SUM(C394)</f>
        <v>4000</v>
      </c>
      <c r="L393" s="126">
        <f>SUM(L372,K393)</f>
        <v>28384.18</v>
      </c>
    </row>
    <row r="394" spans="1:14">
      <c r="A394" s="342"/>
      <c r="B394" s="342" t="s">
        <v>1023</v>
      </c>
      <c r="C394" s="126">
        <v>4000</v>
      </c>
      <c r="D394" s="126"/>
      <c r="E394" s="126"/>
      <c r="F394" s="126"/>
      <c r="G394" s="126"/>
      <c r="H394" s="346">
        <v>2</v>
      </c>
      <c r="I394" s="126"/>
      <c r="J394" s="56" t="s">
        <v>617</v>
      </c>
      <c r="K394" s="54">
        <f>SUM(C424)</f>
        <v>6500</v>
      </c>
      <c r="L394" s="126">
        <f>SUM(L373,K394)</f>
        <v>19500</v>
      </c>
    </row>
    <row r="395" spans="1:14">
      <c r="A395" s="101">
        <v>45724</v>
      </c>
      <c r="B395" s="342" t="s">
        <v>1024</v>
      </c>
      <c r="C395" s="126">
        <v>3600</v>
      </c>
      <c r="D395" s="342"/>
      <c r="E395" s="342"/>
      <c r="F395" s="342"/>
      <c r="G395" s="342"/>
      <c r="H395" s="347">
        <v>8</v>
      </c>
      <c r="I395" s="342"/>
      <c r="J395" s="57" t="s">
        <v>619</v>
      </c>
      <c r="K395" s="54"/>
      <c r="L395" s="126">
        <f t="shared" ref="L395:L400" si="1">SUM(L374,K395)</f>
        <v>0</v>
      </c>
    </row>
    <row r="396" spans="1:14">
      <c r="A396" s="101">
        <v>45728</v>
      </c>
      <c r="B396" s="342" t="s">
        <v>798</v>
      </c>
      <c r="C396" s="126">
        <v>695</v>
      </c>
      <c r="D396" s="342"/>
      <c r="E396" s="342"/>
      <c r="F396" s="342"/>
      <c r="G396" s="342"/>
      <c r="H396" s="347">
        <v>8</v>
      </c>
      <c r="I396" s="342"/>
      <c r="J396" s="58" t="s">
        <v>621</v>
      </c>
      <c r="K396" s="54">
        <f>SUM(C411,C412)</f>
        <v>7000</v>
      </c>
      <c r="L396" s="126">
        <f>SUM(L375,K396)</f>
        <v>7300</v>
      </c>
    </row>
    <row r="397" spans="1:14">
      <c r="A397" s="101">
        <v>45729</v>
      </c>
      <c r="B397" s="342" t="s">
        <v>1025</v>
      </c>
      <c r="C397" s="126">
        <v>6100</v>
      </c>
      <c r="D397" s="342"/>
      <c r="E397" s="342"/>
      <c r="F397" s="342"/>
      <c r="G397" s="342"/>
      <c r="H397" s="347">
        <v>8</v>
      </c>
      <c r="I397" s="342"/>
      <c r="J397" s="54" t="s">
        <v>623</v>
      </c>
      <c r="K397" s="54">
        <f>SUM(C423,D423)</f>
        <v>16500</v>
      </c>
      <c r="L397" s="126">
        <f>SUM(L376,K397)</f>
        <v>49500</v>
      </c>
    </row>
    <row r="398" spans="1:14">
      <c r="A398" s="342"/>
      <c r="B398" s="342" t="s">
        <v>637</v>
      </c>
      <c r="C398" s="126">
        <v>234</v>
      </c>
      <c r="D398" s="342"/>
      <c r="E398" s="342"/>
      <c r="F398" s="342"/>
      <c r="G398" s="342"/>
      <c r="H398" s="347">
        <v>8</v>
      </c>
      <c r="I398" s="342"/>
      <c r="J398" s="54" t="s">
        <v>625</v>
      </c>
      <c r="K398" s="54"/>
      <c r="L398" s="126">
        <f t="shared" si="1"/>
        <v>3000</v>
      </c>
    </row>
    <row r="399" spans="1:14">
      <c r="B399" s="342" t="s">
        <v>637</v>
      </c>
      <c r="C399" s="126">
        <v>1200</v>
      </c>
      <c r="D399" s="342"/>
      <c r="E399" s="342"/>
      <c r="F399" s="342"/>
      <c r="G399" s="342"/>
      <c r="H399" s="347">
        <v>8</v>
      </c>
      <c r="I399" s="342"/>
      <c r="J399" s="54" t="s">
        <v>627</v>
      </c>
      <c r="K399" s="54">
        <f>SUM(C404)</f>
        <v>760</v>
      </c>
      <c r="L399" s="126">
        <f>SUM(L378,K399)</f>
        <v>2090</v>
      </c>
      <c r="M399" s="342"/>
      <c r="N399" s="342"/>
    </row>
    <row r="400" spans="1:14">
      <c r="B400" s="342" t="s">
        <v>640</v>
      </c>
      <c r="C400" s="126">
        <v>325</v>
      </c>
      <c r="D400" s="126"/>
      <c r="E400" s="126"/>
      <c r="F400" s="126"/>
      <c r="G400" s="126"/>
      <c r="H400" s="346">
        <v>8</v>
      </c>
      <c r="I400" s="126"/>
      <c r="J400" s="54" t="s">
        <v>629</v>
      </c>
      <c r="K400" s="54">
        <f>SUM(G407)</f>
        <v>20000</v>
      </c>
      <c r="L400" s="126">
        <f t="shared" si="1"/>
        <v>20000</v>
      </c>
      <c r="M400" s="342"/>
      <c r="N400" s="342"/>
    </row>
    <row r="401" spans="1:14">
      <c r="B401" s="342" t="s">
        <v>637</v>
      </c>
      <c r="C401" s="126">
        <v>427</v>
      </c>
      <c r="D401" s="126"/>
      <c r="E401" s="126"/>
      <c r="F401" s="126"/>
      <c r="G401" s="126"/>
      <c r="H401" s="346">
        <v>8</v>
      </c>
      <c r="I401" s="126"/>
      <c r="J401" s="54" t="s">
        <v>631</v>
      </c>
      <c r="K401" s="54">
        <f>SUM(C391,D391,C392,C393,C409)</f>
        <v>10399.509999999998</v>
      </c>
      <c r="L401" s="126">
        <f>SUM(L380,K401)</f>
        <v>33783.550000000003</v>
      </c>
      <c r="M401" s="342"/>
      <c r="N401" s="342"/>
    </row>
    <row r="402" spans="1:14">
      <c r="A402" s="101">
        <v>45731</v>
      </c>
      <c r="B402" s="342" t="s">
        <v>1026</v>
      </c>
      <c r="C402" s="126">
        <v>3000</v>
      </c>
      <c r="D402" s="126"/>
      <c r="E402" s="126"/>
      <c r="F402" s="126"/>
      <c r="G402" s="126"/>
      <c r="H402" s="346">
        <v>8</v>
      </c>
      <c r="I402" s="126"/>
      <c r="J402" s="54" t="s">
        <v>634</v>
      </c>
      <c r="K402" s="54">
        <f>SUM(C395,C396,C397,C398,C399,C400,C401,C405,C406,D410,C416,C417,C418,C420,G422,C402)</f>
        <v>25336.5</v>
      </c>
      <c r="L402" s="126">
        <f>SUM(L381,K402)</f>
        <v>35306</v>
      </c>
      <c r="M402" s="342"/>
      <c r="N402" s="342"/>
    </row>
    <row r="403" spans="1:14">
      <c r="A403" s="101">
        <v>45733</v>
      </c>
      <c r="B403" s="342" t="s">
        <v>951</v>
      </c>
      <c r="C403" s="126"/>
      <c r="D403" s="126"/>
      <c r="E403" s="126"/>
      <c r="F403" s="126"/>
      <c r="G403" s="126">
        <v>4000</v>
      </c>
      <c r="H403" s="346">
        <v>10</v>
      </c>
      <c r="I403" s="126"/>
      <c r="J403" s="54" t="s">
        <v>636</v>
      </c>
      <c r="K403" s="63"/>
      <c r="L403" s="126">
        <f>SUM(L382,K403)</f>
        <v>500</v>
      </c>
      <c r="M403" s="342"/>
      <c r="N403" s="342"/>
    </row>
    <row r="404" spans="1:14">
      <c r="A404" s="101">
        <v>45734</v>
      </c>
      <c r="B404" s="342" t="s">
        <v>1027</v>
      </c>
      <c r="C404" s="126">
        <v>760</v>
      </c>
      <c r="D404" s="126"/>
      <c r="E404" s="126"/>
      <c r="F404" s="126"/>
      <c r="G404" s="126"/>
      <c r="H404" s="346" t="s">
        <v>648</v>
      </c>
      <c r="I404" s="126"/>
      <c r="J404" s="54" t="s">
        <v>638</v>
      </c>
      <c r="K404" s="54">
        <f>SUM(D390,G403,G408,G413,G414,G415)</f>
        <v>80465</v>
      </c>
      <c r="L404" s="126">
        <f>SUM(L383,K404)</f>
        <v>385998.51</v>
      </c>
      <c r="M404" s="342"/>
      <c r="N404" s="342"/>
    </row>
    <row r="405" spans="1:14" ht="15.75" thickBot="1">
      <c r="A405" s="342"/>
      <c r="B405" s="342" t="s">
        <v>1028</v>
      </c>
      <c r="C405" s="126">
        <v>540</v>
      </c>
      <c r="D405" s="126"/>
      <c r="E405" s="126"/>
      <c r="F405" s="126"/>
      <c r="G405" s="126"/>
      <c r="H405" s="346">
        <v>8</v>
      </c>
      <c r="I405" s="126"/>
      <c r="J405" s="172" t="s">
        <v>1018</v>
      </c>
      <c r="K405" s="173">
        <f>SUM(K392:K404)</f>
        <v>170961.01</v>
      </c>
      <c r="L405" s="344">
        <f>SUM(L392:L404)</f>
        <v>590362.24</v>
      </c>
      <c r="M405" s="342"/>
      <c r="N405" s="342"/>
    </row>
    <row r="406" spans="1:14" ht="15.75" thickTop="1">
      <c r="A406" s="101">
        <v>45735</v>
      </c>
      <c r="B406" s="342" t="s">
        <v>637</v>
      </c>
      <c r="C406" s="126">
        <v>165</v>
      </c>
      <c r="D406" s="126"/>
      <c r="E406" s="126"/>
      <c r="F406" s="126"/>
      <c r="G406" s="126"/>
      <c r="H406" s="346">
        <v>8</v>
      </c>
      <c r="I406" s="126"/>
      <c r="J406" s="343"/>
      <c r="K406" s="340"/>
      <c r="L406" s="344">
        <f>SUM(L384,K405)</f>
        <v>590362.24</v>
      </c>
      <c r="M406" s="342"/>
      <c r="N406" s="342"/>
    </row>
    <row r="407" spans="1:14">
      <c r="A407" s="101">
        <v>45737</v>
      </c>
      <c r="B407" s="342" t="s">
        <v>1029</v>
      </c>
      <c r="C407" s="126"/>
      <c r="D407" s="126"/>
      <c r="E407" s="126"/>
      <c r="F407" s="126"/>
      <c r="G407" s="126">
        <v>20000</v>
      </c>
      <c r="H407" s="346" t="s">
        <v>633</v>
      </c>
      <c r="I407" s="126"/>
      <c r="J407" s="126"/>
      <c r="K407" s="126"/>
      <c r="L407" s="342"/>
      <c r="M407" s="342"/>
      <c r="N407" s="342"/>
    </row>
    <row r="408" spans="1:14">
      <c r="A408" s="342"/>
      <c r="B408" s="342" t="s">
        <v>1030</v>
      </c>
      <c r="C408" s="126"/>
      <c r="D408" s="126"/>
      <c r="E408" s="126"/>
      <c r="F408" s="126"/>
      <c r="G408" s="126">
        <v>20000</v>
      </c>
      <c r="H408" s="346">
        <v>10</v>
      </c>
      <c r="I408" s="126"/>
      <c r="J408" s="126"/>
      <c r="K408" s="126"/>
      <c r="L408" s="342"/>
      <c r="M408" s="342"/>
      <c r="N408" s="342"/>
    </row>
    <row r="409" spans="1:14">
      <c r="A409" s="101">
        <v>45738</v>
      </c>
      <c r="B409" s="342" t="s">
        <v>692</v>
      </c>
      <c r="C409" s="126">
        <v>2000</v>
      </c>
      <c r="D409" s="126"/>
      <c r="E409" s="126"/>
      <c r="F409" s="126"/>
      <c r="G409" s="126"/>
      <c r="H409" s="346">
        <v>7</v>
      </c>
      <c r="I409" s="126"/>
      <c r="J409" s="126"/>
      <c r="K409" s="126"/>
      <c r="L409" s="342"/>
      <c r="M409" s="342"/>
      <c r="N409" s="342"/>
    </row>
    <row r="410" spans="1:14">
      <c r="A410" s="342"/>
      <c r="B410" s="342" t="s">
        <v>1031</v>
      </c>
      <c r="C410" s="126"/>
      <c r="D410" s="126">
        <v>3600</v>
      </c>
      <c r="E410" s="126"/>
      <c r="F410" s="126"/>
      <c r="G410" s="126"/>
      <c r="H410" s="346">
        <v>8</v>
      </c>
      <c r="I410" s="126"/>
      <c r="J410" s="126"/>
      <c r="K410" s="126"/>
      <c r="L410" s="342"/>
      <c r="M410" s="342"/>
      <c r="N410" s="342"/>
    </row>
    <row r="411" spans="1:14">
      <c r="A411" s="101">
        <v>45740</v>
      </c>
      <c r="B411" s="342" t="s">
        <v>1032</v>
      </c>
      <c r="C411" s="126">
        <v>6500</v>
      </c>
      <c r="D411" s="126"/>
      <c r="E411" s="126"/>
      <c r="F411" s="126"/>
      <c r="G411" s="126"/>
      <c r="H411" s="346">
        <v>5</v>
      </c>
      <c r="I411" s="126"/>
      <c r="J411" s="126"/>
      <c r="K411" s="126"/>
      <c r="L411" s="342"/>
      <c r="M411" s="342"/>
      <c r="N411" s="342"/>
    </row>
    <row r="412" spans="1:14">
      <c r="A412" s="342"/>
      <c r="B412" s="342" t="s">
        <v>1033</v>
      </c>
      <c r="C412" s="126">
        <v>500</v>
      </c>
      <c r="D412" s="126"/>
      <c r="E412" s="126"/>
      <c r="F412" s="126"/>
      <c r="G412" s="126"/>
      <c r="H412" s="346">
        <v>5</v>
      </c>
      <c r="I412" s="126"/>
      <c r="J412" s="126"/>
      <c r="K412" s="126"/>
      <c r="L412" s="342"/>
      <c r="M412" s="342"/>
      <c r="N412" s="342"/>
    </row>
    <row r="413" spans="1:14">
      <c r="A413" s="342"/>
      <c r="B413" s="342" t="s">
        <v>951</v>
      </c>
      <c r="C413" s="126"/>
      <c r="D413" s="126"/>
      <c r="E413" s="126"/>
      <c r="F413" s="126"/>
      <c r="G413" s="126">
        <v>5700</v>
      </c>
      <c r="H413" s="346">
        <v>10</v>
      </c>
      <c r="I413" s="126"/>
      <c r="J413" s="126"/>
      <c r="K413" s="126"/>
      <c r="L413" s="342"/>
      <c r="M413" s="342"/>
      <c r="N413" s="342"/>
    </row>
    <row r="414" spans="1:14">
      <c r="A414" s="342"/>
      <c r="B414" s="342" t="s">
        <v>951</v>
      </c>
      <c r="C414" s="126"/>
      <c r="D414" s="126"/>
      <c r="E414" s="126"/>
      <c r="F414" s="126"/>
      <c r="G414" s="126">
        <v>18525</v>
      </c>
      <c r="H414" s="346">
        <v>10</v>
      </c>
      <c r="I414" s="126"/>
      <c r="J414" s="126"/>
      <c r="K414" s="126"/>
      <c r="L414" s="342"/>
      <c r="M414" s="342"/>
      <c r="N414" s="342"/>
    </row>
    <row r="415" spans="1:14">
      <c r="A415" s="342"/>
      <c r="B415" s="342" t="s">
        <v>951</v>
      </c>
      <c r="C415" s="126"/>
      <c r="D415" s="126"/>
      <c r="E415" s="126"/>
      <c r="F415" s="126"/>
      <c r="G415" s="126">
        <v>31200</v>
      </c>
      <c r="H415" s="346">
        <v>10</v>
      </c>
      <c r="I415" s="126"/>
      <c r="J415" s="126"/>
      <c r="K415" s="126"/>
      <c r="L415" s="342"/>
      <c r="M415" s="342"/>
      <c r="N415" s="342"/>
    </row>
    <row r="416" spans="1:14">
      <c r="A416" s="101">
        <v>45741</v>
      </c>
      <c r="B416" s="342" t="s">
        <v>1034</v>
      </c>
      <c r="C416" s="126">
        <v>915</v>
      </c>
      <c r="D416" s="126"/>
      <c r="E416" s="126"/>
      <c r="F416" s="126"/>
      <c r="G416" s="126"/>
      <c r="H416" s="346">
        <v>8</v>
      </c>
      <c r="I416" s="126"/>
      <c r="J416" s="126"/>
      <c r="K416" s="126"/>
      <c r="L416" s="342"/>
    </row>
    <row r="417" spans="1:14">
      <c r="A417" s="342"/>
      <c r="B417" s="342" t="s">
        <v>1035</v>
      </c>
      <c r="C417" s="126">
        <v>1222</v>
      </c>
      <c r="D417" s="126"/>
      <c r="E417" s="126"/>
      <c r="F417" s="126"/>
      <c r="G417" s="126"/>
      <c r="H417" s="346">
        <v>8</v>
      </c>
      <c r="I417" s="126"/>
      <c r="J417" s="126"/>
      <c r="K417" s="126"/>
      <c r="L417" s="342"/>
    </row>
    <row r="418" spans="1:14">
      <c r="A418" s="101">
        <v>45743</v>
      </c>
      <c r="B418" s="342" t="s">
        <v>1035</v>
      </c>
      <c r="C418" s="126">
        <v>1513.5</v>
      </c>
      <c r="D418" s="126"/>
      <c r="E418" s="126"/>
      <c r="F418" s="126"/>
      <c r="G418" s="126"/>
      <c r="H418" s="346">
        <v>8</v>
      </c>
      <c r="I418" s="126"/>
      <c r="J418" s="126"/>
      <c r="K418" s="126"/>
      <c r="L418" s="342"/>
      <c r="M418" s="342"/>
      <c r="N418" s="342"/>
    </row>
    <row r="419" spans="1:14">
      <c r="A419" s="101">
        <v>45745</v>
      </c>
      <c r="B419" s="342" t="s">
        <v>1036</v>
      </c>
      <c r="C419" s="126"/>
      <c r="D419" s="126"/>
      <c r="E419" s="126"/>
      <c r="F419" s="126"/>
      <c r="G419" s="126"/>
      <c r="H419" s="346">
        <v>8</v>
      </c>
      <c r="I419" s="126"/>
      <c r="J419" s="126"/>
      <c r="K419" s="126"/>
      <c r="L419" s="342"/>
      <c r="M419" s="342"/>
      <c r="N419" s="342"/>
    </row>
    <row r="420" spans="1:14">
      <c r="A420" s="342"/>
      <c r="B420" s="342" t="s">
        <v>1037</v>
      </c>
      <c r="C420" s="126">
        <v>900</v>
      </c>
      <c r="D420" s="126"/>
      <c r="E420" s="126"/>
      <c r="F420" s="126"/>
      <c r="G420" s="126"/>
      <c r="H420" s="346">
        <v>8</v>
      </c>
      <c r="I420" s="126"/>
      <c r="J420" s="126"/>
      <c r="K420" s="126"/>
      <c r="L420" s="342"/>
      <c r="M420" s="342"/>
      <c r="N420" s="342"/>
    </row>
    <row r="421" spans="1:14">
      <c r="A421" s="342"/>
      <c r="B421" s="342" t="s">
        <v>1038</v>
      </c>
      <c r="C421" s="126"/>
      <c r="D421" s="126"/>
      <c r="E421" s="126"/>
      <c r="F421" s="126"/>
      <c r="G421" s="126"/>
      <c r="H421" s="346">
        <v>8</v>
      </c>
      <c r="I421" s="126"/>
      <c r="J421" s="126"/>
      <c r="K421" s="126"/>
      <c r="L421" s="342"/>
      <c r="M421" s="342"/>
      <c r="N421" s="342"/>
    </row>
    <row r="422" spans="1:14">
      <c r="A422" s="342"/>
      <c r="B422" s="342" t="s">
        <v>1039</v>
      </c>
      <c r="C422" s="126"/>
      <c r="D422" s="126"/>
      <c r="E422" s="126"/>
      <c r="F422" s="126"/>
      <c r="G422" s="126">
        <v>900</v>
      </c>
      <c r="H422" s="346">
        <v>8</v>
      </c>
      <c r="I422" s="126"/>
      <c r="J422" s="126"/>
      <c r="K422" s="126"/>
      <c r="L422" s="342"/>
      <c r="M422" s="342"/>
      <c r="N422" s="342"/>
    </row>
    <row r="423" spans="1:14">
      <c r="A423" s="101">
        <v>45747</v>
      </c>
      <c r="B423" s="14" t="s">
        <v>1040</v>
      </c>
      <c r="C423" s="17">
        <v>10000</v>
      </c>
      <c r="D423" s="23">
        <v>6500</v>
      </c>
      <c r="E423" s="126"/>
      <c r="F423" s="126"/>
      <c r="G423" s="126"/>
      <c r="H423" s="346">
        <v>6</v>
      </c>
      <c r="I423" s="126"/>
      <c r="J423" s="126"/>
      <c r="K423" s="126"/>
      <c r="L423" s="342"/>
      <c r="M423" s="342"/>
      <c r="N423" s="342"/>
    </row>
    <row r="424" spans="1:14">
      <c r="A424" s="342"/>
      <c r="B424" s="14" t="s">
        <v>959</v>
      </c>
      <c r="C424" s="32">
        <v>6500</v>
      </c>
      <c r="D424" s="23"/>
      <c r="E424" s="126"/>
      <c r="F424" s="126"/>
      <c r="G424" s="126"/>
      <c r="H424" s="346">
        <v>3</v>
      </c>
      <c r="I424" s="126"/>
      <c r="J424" s="342"/>
      <c r="K424" s="342"/>
      <c r="L424" s="342"/>
      <c r="M424" s="342"/>
      <c r="N424" s="342"/>
    </row>
    <row r="425" spans="1:14">
      <c r="A425" s="345" t="s">
        <v>1018</v>
      </c>
      <c r="B425" s="345" t="s">
        <v>960</v>
      </c>
      <c r="C425" s="158">
        <f>SUM(C390:C424)</f>
        <v>58411.15</v>
      </c>
      <c r="D425" s="158">
        <f>SUM(D390:D424)</f>
        <v>12224.86</v>
      </c>
      <c r="E425" s="158"/>
      <c r="F425" s="158"/>
      <c r="G425" s="158">
        <f>SUM(G390:G424)</f>
        <v>100325</v>
      </c>
      <c r="H425" s="158"/>
      <c r="I425" s="158">
        <f>SUM(C425:G425)</f>
        <v>170961.01</v>
      </c>
      <c r="J425" s="342"/>
      <c r="K425" s="342"/>
      <c r="L425" s="342"/>
      <c r="M425" s="342"/>
      <c r="N425" s="342"/>
    </row>
    <row r="426" spans="1:14">
      <c r="A426" s="343" t="s">
        <v>1131</v>
      </c>
      <c r="B426" s="343"/>
      <c r="C426" s="344"/>
      <c r="D426" s="344"/>
      <c r="E426" s="344"/>
      <c r="F426" s="344"/>
      <c r="G426" s="344"/>
      <c r="H426" s="344"/>
      <c r="I426" s="344"/>
      <c r="J426" s="342"/>
      <c r="K426" s="342"/>
      <c r="L426" s="342"/>
      <c r="M426" s="342"/>
      <c r="N426" s="342"/>
    </row>
    <row r="427" spans="1:14">
      <c r="A427" s="101">
        <v>45748</v>
      </c>
      <c r="B427" s="342" t="s">
        <v>1030</v>
      </c>
      <c r="C427" s="126">
        <v>30000</v>
      </c>
      <c r="D427" s="126"/>
      <c r="E427" s="126"/>
      <c r="F427" s="126"/>
      <c r="G427" s="126"/>
      <c r="H427" s="346">
        <v>10</v>
      </c>
      <c r="I427" s="126"/>
      <c r="J427" s="349" t="s">
        <v>1153</v>
      </c>
      <c r="K427" s="54" t="s">
        <v>661</v>
      </c>
      <c r="M427" s="342"/>
      <c r="N427" s="342"/>
    </row>
    <row r="428" spans="1:14">
      <c r="A428" s="101">
        <v>45749</v>
      </c>
      <c r="B428" s="342" t="s">
        <v>1132</v>
      </c>
      <c r="C428" s="126">
        <v>225</v>
      </c>
      <c r="D428" s="126"/>
      <c r="E428" s="126"/>
      <c r="F428" s="126"/>
      <c r="G428" s="126"/>
      <c r="H428" s="346">
        <v>8</v>
      </c>
      <c r="I428" s="126"/>
      <c r="J428" s="53" t="s">
        <v>613</v>
      </c>
      <c r="K428" s="54"/>
      <c r="L428" s="126">
        <f>SUM(L392,K428)</f>
        <v>5000</v>
      </c>
      <c r="M428" s="342"/>
      <c r="N428" s="342"/>
    </row>
    <row r="429" spans="1:14">
      <c r="A429" s="342"/>
      <c r="B429" s="342" t="s">
        <v>1133</v>
      </c>
      <c r="C429" s="126">
        <v>1000</v>
      </c>
      <c r="D429" s="126"/>
      <c r="E429" s="126"/>
      <c r="F429" s="126"/>
      <c r="G429" s="126"/>
      <c r="H429" s="346">
        <v>9</v>
      </c>
      <c r="I429" s="126"/>
      <c r="J429" s="55" t="s">
        <v>615</v>
      </c>
      <c r="K429" s="54"/>
      <c r="L429" s="126">
        <f t="shared" ref="L429:L440" si="2">SUM(L393,K429)</f>
        <v>28384.18</v>
      </c>
      <c r="M429" s="342"/>
      <c r="N429" s="342"/>
    </row>
    <row r="430" spans="1:14">
      <c r="A430" s="101">
        <v>45750</v>
      </c>
      <c r="B430" s="342" t="s">
        <v>1134</v>
      </c>
      <c r="C430" s="126">
        <v>6148.19</v>
      </c>
      <c r="D430" s="126">
        <v>891.15</v>
      </c>
      <c r="E430" s="126"/>
      <c r="F430" s="126"/>
      <c r="G430" s="126"/>
      <c r="H430" s="346">
        <v>7</v>
      </c>
      <c r="I430" s="126"/>
      <c r="J430" s="56" t="s">
        <v>617</v>
      </c>
      <c r="K430" s="54">
        <f>SUM(C460)</f>
        <v>6500</v>
      </c>
      <c r="L430" s="126">
        <f t="shared" si="2"/>
        <v>26000</v>
      </c>
      <c r="M430" s="342"/>
      <c r="N430" s="342"/>
    </row>
    <row r="431" spans="1:14">
      <c r="A431" s="101"/>
      <c r="B431" s="342" t="s">
        <v>1152</v>
      </c>
      <c r="C431" s="126"/>
      <c r="D431" s="126"/>
      <c r="E431" s="126"/>
      <c r="F431" s="126"/>
      <c r="G431" s="126">
        <v>2982.82</v>
      </c>
      <c r="H431" s="346">
        <v>10</v>
      </c>
      <c r="I431" s="126"/>
      <c r="J431" s="57" t="s">
        <v>619</v>
      </c>
      <c r="K431" s="54"/>
      <c r="L431" s="126">
        <f t="shared" si="2"/>
        <v>0</v>
      </c>
      <c r="M431" s="342"/>
      <c r="N431" s="342"/>
    </row>
    <row r="432" spans="1:14">
      <c r="A432" s="101">
        <v>45751</v>
      </c>
      <c r="B432" s="342" t="s">
        <v>1135</v>
      </c>
      <c r="C432" s="126">
        <v>714</v>
      </c>
      <c r="D432" s="126"/>
      <c r="E432" s="126"/>
      <c r="F432" s="126"/>
      <c r="G432" s="126"/>
      <c r="H432" s="346">
        <v>7</v>
      </c>
      <c r="I432" s="126"/>
      <c r="J432" s="58" t="s">
        <v>621</v>
      </c>
      <c r="K432" s="54">
        <f>SUM(C438)</f>
        <v>400</v>
      </c>
      <c r="L432" s="126">
        <f t="shared" si="2"/>
        <v>7700</v>
      </c>
      <c r="M432" s="342"/>
      <c r="N432" s="342"/>
    </row>
    <row r="433" spans="1:14">
      <c r="A433" s="342"/>
      <c r="B433" s="342" t="s">
        <v>1136</v>
      </c>
      <c r="C433" s="126">
        <v>700</v>
      </c>
      <c r="D433" s="126"/>
      <c r="E433" s="126"/>
      <c r="F433" s="126"/>
      <c r="G433" s="126"/>
      <c r="H433" s="346">
        <v>9</v>
      </c>
      <c r="I433" s="126"/>
      <c r="J433" s="54" t="s">
        <v>623</v>
      </c>
      <c r="K433" s="54">
        <f>SUM(C459,D459)</f>
        <v>16500</v>
      </c>
      <c r="L433" s="126">
        <f t="shared" si="2"/>
        <v>66000</v>
      </c>
      <c r="M433" s="342"/>
      <c r="N433" s="342"/>
    </row>
    <row r="434" spans="1:14">
      <c r="A434" s="342"/>
      <c r="B434" s="342" t="s">
        <v>1137</v>
      </c>
      <c r="C434" s="126">
        <v>1000</v>
      </c>
      <c r="D434" s="126"/>
      <c r="E434" s="126"/>
      <c r="F434" s="126"/>
      <c r="G434" s="126"/>
      <c r="H434" s="346">
        <v>8</v>
      </c>
      <c r="I434" s="126"/>
      <c r="J434" s="54" t="s">
        <v>625</v>
      </c>
      <c r="K434" s="54"/>
      <c r="L434" s="126">
        <f t="shared" si="2"/>
        <v>3000</v>
      </c>
      <c r="M434" s="342"/>
      <c r="N434" s="342"/>
    </row>
    <row r="435" spans="1:14">
      <c r="A435" s="101">
        <v>45752</v>
      </c>
      <c r="B435" s="342" t="s">
        <v>1139</v>
      </c>
      <c r="C435" s="126">
        <v>819.5</v>
      </c>
      <c r="D435" s="126"/>
      <c r="E435" s="126"/>
      <c r="F435" s="126"/>
      <c r="G435" s="126"/>
      <c r="H435" s="346">
        <v>8</v>
      </c>
      <c r="I435" s="126"/>
      <c r="J435" s="54" t="s">
        <v>627</v>
      </c>
      <c r="K435" s="54">
        <f>SUM(C450)</f>
        <v>760</v>
      </c>
      <c r="L435" s="126">
        <f t="shared" si="2"/>
        <v>2850</v>
      </c>
      <c r="M435" s="342"/>
      <c r="N435" s="342"/>
    </row>
    <row r="436" spans="1:14">
      <c r="A436" s="101"/>
      <c r="B436" s="342" t="s">
        <v>1140</v>
      </c>
      <c r="C436" s="126">
        <v>3600</v>
      </c>
      <c r="D436" s="126"/>
      <c r="E436" s="126"/>
      <c r="F436" s="126"/>
      <c r="G436" s="126"/>
      <c r="H436" s="346">
        <v>8</v>
      </c>
      <c r="I436" s="126"/>
      <c r="J436" s="54" t="s">
        <v>629</v>
      </c>
      <c r="K436" s="54"/>
      <c r="L436" s="126">
        <f t="shared" si="2"/>
        <v>20000</v>
      </c>
      <c r="M436" s="342"/>
      <c r="N436" s="342"/>
    </row>
    <row r="437" spans="1:14">
      <c r="A437" s="101">
        <v>45753</v>
      </c>
      <c r="B437" s="342" t="s">
        <v>645</v>
      </c>
      <c r="C437" s="126">
        <v>1000</v>
      </c>
      <c r="D437" s="126"/>
      <c r="E437" s="126"/>
      <c r="F437" s="126"/>
      <c r="G437" s="126"/>
      <c r="H437" s="346">
        <v>9</v>
      </c>
      <c r="I437" s="126"/>
      <c r="J437" s="54" t="s">
        <v>631</v>
      </c>
      <c r="K437" s="54">
        <f>SUM(C430,D430,C432,C443)</f>
        <v>9753.34</v>
      </c>
      <c r="L437" s="126">
        <f t="shared" si="2"/>
        <v>43536.89</v>
      </c>
      <c r="M437" s="342"/>
      <c r="N437" s="342"/>
    </row>
    <row r="438" spans="1:14">
      <c r="A438" s="342"/>
      <c r="B438" s="342" t="s">
        <v>1138</v>
      </c>
      <c r="C438" s="126">
        <v>400</v>
      </c>
      <c r="D438" s="126"/>
      <c r="E438" s="126"/>
      <c r="F438" s="126"/>
      <c r="G438" s="126"/>
      <c r="H438" s="346">
        <v>5</v>
      </c>
      <c r="I438" s="126"/>
      <c r="J438" s="54" t="s">
        <v>634</v>
      </c>
      <c r="K438" s="54">
        <f>SUM(C428,C434,C435,C436,C440,C439,C442,C445,C446,C449,C451,C452,C453,C454,C455,C456,C457)</f>
        <v>32533.050000000003</v>
      </c>
      <c r="L438" s="126">
        <f t="shared" si="2"/>
        <v>67839.05</v>
      </c>
      <c r="M438" s="342"/>
      <c r="N438" s="342"/>
    </row>
    <row r="439" spans="1:14">
      <c r="A439" s="101">
        <v>45759</v>
      </c>
      <c r="B439" s="342" t="s">
        <v>1141</v>
      </c>
      <c r="C439" s="126">
        <v>3600</v>
      </c>
      <c r="D439" s="126"/>
      <c r="E439" s="126"/>
      <c r="F439" s="126"/>
      <c r="G439" s="126"/>
      <c r="H439" s="346">
        <v>8</v>
      </c>
      <c r="I439" s="126"/>
      <c r="J439" s="54" t="s">
        <v>636</v>
      </c>
      <c r="K439" s="63">
        <f>SUM(C429,C433,C437,C441,C444,C448)</f>
        <v>8006</v>
      </c>
      <c r="L439" s="126">
        <f t="shared" si="2"/>
        <v>8506</v>
      </c>
    </row>
    <row r="440" spans="1:14">
      <c r="A440" s="101">
        <v>45762</v>
      </c>
      <c r="B440" s="342" t="s">
        <v>1142</v>
      </c>
      <c r="C440" s="126">
        <v>230</v>
      </c>
      <c r="D440" s="126"/>
      <c r="E440" s="126"/>
      <c r="F440" s="126"/>
      <c r="G440" s="126"/>
      <c r="H440" s="346">
        <v>8</v>
      </c>
      <c r="I440" s="126"/>
      <c r="J440" s="54" t="s">
        <v>638</v>
      </c>
      <c r="K440" s="54">
        <f>SUM(C427,G431,G447,C458)</f>
        <v>68682.820000000007</v>
      </c>
      <c r="L440" s="126">
        <f t="shared" si="2"/>
        <v>454681.33</v>
      </c>
    </row>
    <row r="441" spans="1:14" ht="15.75" thickBot="1">
      <c r="B441" s="342" t="s">
        <v>1143</v>
      </c>
      <c r="C441" s="126">
        <v>1000</v>
      </c>
      <c r="D441" s="342"/>
      <c r="E441" s="342"/>
      <c r="F441" s="342"/>
      <c r="G441" s="342"/>
      <c r="H441" s="347">
        <v>9</v>
      </c>
      <c r="I441" s="342"/>
      <c r="J441" s="172" t="s">
        <v>1131</v>
      </c>
      <c r="K441" s="173">
        <f>SUM(K428:K440)</f>
        <v>143135.21000000002</v>
      </c>
      <c r="L441" s="344">
        <f>SUM(L428:L440)</f>
        <v>733497.45</v>
      </c>
    </row>
    <row r="442" spans="1:14" ht="15.75" thickTop="1">
      <c r="A442" s="101">
        <v>45766</v>
      </c>
      <c r="B442" s="342" t="s">
        <v>1144</v>
      </c>
      <c r="C442" s="126">
        <v>3000</v>
      </c>
      <c r="D442" s="342"/>
      <c r="E442" s="342"/>
      <c r="F442" s="342"/>
      <c r="G442" s="342"/>
      <c r="H442" s="347">
        <v>8</v>
      </c>
      <c r="I442" s="342"/>
      <c r="J442" s="343"/>
      <c r="K442" s="340"/>
      <c r="L442" s="344">
        <f>SUM(L406,K441)</f>
        <v>733497.45</v>
      </c>
    </row>
    <row r="443" spans="1:14">
      <c r="A443" s="126"/>
      <c r="B443" s="126" t="s">
        <v>692</v>
      </c>
      <c r="C443" s="126">
        <v>2000</v>
      </c>
      <c r="D443" s="126"/>
      <c r="E443" s="126"/>
      <c r="F443" s="126"/>
      <c r="G443" s="126"/>
      <c r="H443" s="346">
        <v>7</v>
      </c>
      <c r="I443" s="126"/>
      <c r="J443" s="126"/>
      <c r="K443" s="126"/>
    </row>
    <row r="444" spans="1:14">
      <c r="A444" s="126"/>
      <c r="B444" s="126" t="s">
        <v>1145</v>
      </c>
      <c r="C444" s="126">
        <v>1890</v>
      </c>
      <c r="D444" s="126"/>
      <c r="E444" s="126"/>
      <c r="F444" s="126"/>
      <c r="G444" s="126"/>
      <c r="H444" s="346">
        <v>9</v>
      </c>
      <c r="I444" s="126"/>
      <c r="J444" s="126"/>
      <c r="K444" s="126"/>
    </row>
    <row r="445" spans="1:14">
      <c r="A445" s="126"/>
      <c r="B445" s="126" t="s">
        <v>1035</v>
      </c>
      <c r="C445" s="126">
        <v>3383.5</v>
      </c>
      <c r="D445" s="126"/>
      <c r="E445" s="126"/>
      <c r="F445" s="126"/>
      <c r="G445" s="126"/>
      <c r="H445" s="346">
        <v>8</v>
      </c>
      <c r="I445" s="126"/>
      <c r="J445" s="126"/>
      <c r="K445" s="126"/>
      <c r="L445" s="126"/>
    </row>
    <row r="446" spans="1:14">
      <c r="A446" s="126"/>
      <c r="B446" s="126" t="s">
        <v>1035</v>
      </c>
      <c r="C446" s="126">
        <v>815.65</v>
      </c>
      <c r="D446" s="126"/>
      <c r="E446" s="126"/>
      <c r="F446" s="126"/>
      <c r="G446" s="126"/>
      <c r="H446" s="346">
        <v>8</v>
      </c>
      <c r="I446" s="126"/>
      <c r="J446" s="126"/>
      <c r="K446" s="126"/>
      <c r="L446" s="126"/>
    </row>
    <row r="447" spans="1:14">
      <c r="A447" s="101">
        <v>45768</v>
      </c>
      <c r="B447" s="126" t="s">
        <v>1151</v>
      </c>
      <c r="C447" s="126"/>
      <c r="D447" s="126"/>
      <c r="E447" s="126"/>
      <c r="F447" s="126"/>
      <c r="G447" s="126">
        <v>5700</v>
      </c>
      <c r="H447" s="346">
        <v>10</v>
      </c>
      <c r="I447" s="126"/>
      <c r="J447" s="126"/>
      <c r="K447" s="126"/>
      <c r="L447" s="126"/>
    </row>
    <row r="448" spans="1:14">
      <c r="A448" s="101">
        <v>45770</v>
      </c>
      <c r="B448" s="126" t="s">
        <v>1145</v>
      </c>
      <c r="C448" s="126">
        <v>2416</v>
      </c>
      <c r="D448" s="126"/>
      <c r="E448" s="126"/>
      <c r="F448" s="126"/>
      <c r="G448" s="126"/>
      <c r="H448" s="346">
        <v>9</v>
      </c>
      <c r="I448" s="126"/>
      <c r="J448" s="126"/>
      <c r="K448" s="126"/>
      <c r="L448" s="126"/>
    </row>
    <row r="449" spans="1:12">
      <c r="A449" s="126"/>
      <c r="B449" s="126" t="s">
        <v>1142</v>
      </c>
      <c r="C449" s="126">
        <v>2705</v>
      </c>
      <c r="D449" s="126"/>
      <c r="E449" s="126"/>
      <c r="F449" s="126"/>
      <c r="G449" s="126"/>
      <c r="H449" s="346">
        <v>8</v>
      </c>
      <c r="I449" s="126"/>
      <c r="J449" s="126"/>
      <c r="K449" s="126"/>
      <c r="L449" s="126"/>
    </row>
    <row r="450" spans="1:12">
      <c r="A450" s="126"/>
      <c r="B450" s="126" t="s">
        <v>1154</v>
      </c>
      <c r="C450" s="126">
        <v>760</v>
      </c>
      <c r="D450" s="126"/>
      <c r="E450" s="126"/>
      <c r="F450" s="126"/>
      <c r="G450" s="126"/>
      <c r="H450" s="346" t="s">
        <v>648</v>
      </c>
      <c r="I450" s="126"/>
      <c r="J450" s="126"/>
      <c r="K450" s="126"/>
      <c r="L450" s="126"/>
    </row>
    <row r="451" spans="1:12">
      <c r="A451" s="101">
        <v>45771</v>
      </c>
      <c r="B451" s="126" t="s">
        <v>1146</v>
      </c>
      <c r="C451" s="126">
        <v>3470.7</v>
      </c>
      <c r="D451" s="126"/>
      <c r="E451" s="126"/>
      <c r="F451" s="126"/>
      <c r="G451" s="126"/>
      <c r="H451" s="346">
        <v>8</v>
      </c>
      <c r="I451" s="126"/>
      <c r="J451" s="126"/>
      <c r="K451" s="126"/>
      <c r="L451" s="126"/>
    </row>
    <row r="452" spans="1:12">
      <c r="A452" s="101">
        <v>45773</v>
      </c>
      <c r="B452" s="126" t="s">
        <v>1147</v>
      </c>
      <c r="C452" s="126">
        <v>4230</v>
      </c>
      <c r="D452" s="126"/>
      <c r="E452" s="126"/>
      <c r="F452" s="126"/>
      <c r="G452" s="126"/>
      <c r="H452" s="346">
        <v>8</v>
      </c>
      <c r="I452" s="126"/>
      <c r="J452" s="126"/>
      <c r="K452" s="126"/>
      <c r="L452" s="126"/>
    </row>
    <row r="453" spans="1:12">
      <c r="A453" s="126"/>
      <c r="B453" s="126" t="s">
        <v>637</v>
      </c>
      <c r="C453" s="126">
        <v>82</v>
      </c>
      <c r="D453" s="126"/>
      <c r="E453" s="126"/>
      <c r="F453" s="126"/>
      <c r="G453" s="126"/>
      <c r="H453" s="346">
        <v>8</v>
      </c>
      <c r="I453" s="126"/>
      <c r="J453" s="126"/>
      <c r="K453" s="126"/>
      <c r="L453" s="126"/>
    </row>
    <row r="454" spans="1:12">
      <c r="A454" s="126"/>
      <c r="B454" s="126" t="s">
        <v>775</v>
      </c>
      <c r="C454" s="126">
        <v>548</v>
      </c>
      <c r="D454" s="126"/>
      <c r="E454" s="126"/>
      <c r="F454" s="126"/>
      <c r="G454" s="126"/>
      <c r="H454" s="346">
        <v>8</v>
      </c>
      <c r="I454" s="126"/>
      <c r="J454" s="126"/>
      <c r="K454" s="126"/>
      <c r="L454" s="126"/>
    </row>
    <row r="455" spans="1:12">
      <c r="A455" s="126"/>
      <c r="B455" s="126" t="s">
        <v>1146</v>
      </c>
      <c r="C455" s="126">
        <v>1223.7</v>
      </c>
      <c r="D455" s="126"/>
      <c r="E455" s="126"/>
      <c r="F455" s="126"/>
      <c r="G455" s="126"/>
      <c r="H455" s="346">
        <v>8</v>
      </c>
      <c r="I455" s="126"/>
      <c r="J455" s="126"/>
      <c r="K455" s="126"/>
      <c r="L455" s="126"/>
    </row>
    <row r="456" spans="1:12">
      <c r="A456" s="126"/>
      <c r="B456" s="126" t="s">
        <v>1148</v>
      </c>
      <c r="C456" s="126">
        <v>1800</v>
      </c>
      <c r="D456" s="126"/>
      <c r="E456" s="126"/>
      <c r="F456" s="126"/>
      <c r="G456" s="126"/>
      <c r="H456" s="346">
        <v>8</v>
      </c>
      <c r="I456" s="126"/>
      <c r="J456" s="126"/>
      <c r="K456" s="126"/>
      <c r="L456" s="126"/>
    </row>
    <row r="457" spans="1:12">
      <c r="A457" s="126"/>
      <c r="B457" s="126" t="s">
        <v>1149</v>
      </c>
      <c r="C457" s="126">
        <v>1800</v>
      </c>
      <c r="D457" s="126"/>
      <c r="E457" s="126"/>
      <c r="F457" s="126"/>
      <c r="G457" s="126"/>
      <c r="H457" s="346">
        <v>8</v>
      </c>
      <c r="I457" s="126"/>
      <c r="J457" s="126"/>
      <c r="K457" s="126"/>
      <c r="L457" s="126"/>
    </row>
    <row r="458" spans="1:12">
      <c r="A458" s="101">
        <v>45776</v>
      </c>
      <c r="B458" s="126" t="s">
        <v>1030</v>
      </c>
      <c r="C458" s="126">
        <v>30000</v>
      </c>
      <c r="D458" s="126"/>
      <c r="E458" s="126"/>
      <c r="F458" s="126"/>
      <c r="G458" s="126"/>
      <c r="H458" s="346">
        <v>10</v>
      </c>
      <c r="I458" s="126"/>
      <c r="J458" s="126"/>
      <c r="K458" s="126"/>
      <c r="L458" s="126"/>
    </row>
    <row r="459" spans="1:12">
      <c r="A459" s="101">
        <v>45777</v>
      </c>
      <c r="B459" s="14" t="s">
        <v>1150</v>
      </c>
      <c r="C459" s="17">
        <v>10000</v>
      </c>
      <c r="D459" s="23">
        <v>6500</v>
      </c>
      <c r="E459" s="126"/>
      <c r="F459" s="126"/>
      <c r="G459" s="126"/>
      <c r="H459" s="346">
        <v>6</v>
      </c>
      <c r="I459" s="126"/>
      <c r="J459" s="126"/>
      <c r="K459" s="126"/>
      <c r="L459" s="126"/>
    </row>
    <row r="460" spans="1:12">
      <c r="A460" s="126"/>
      <c r="B460" s="14" t="s">
        <v>749</v>
      </c>
      <c r="C460" s="32">
        <v>6500</v>
      </c>
      <c r="D460" s="23"/>
      <c r="E460" s="126"/>
      <c r="F460" s="126"/>
      <c r="G460" s="126"/>
      <c r="H460" s="346">
        <v>3</v>
      </c>
      <c r="I460" s="126"/>
      <c r="J460" s="126"/>
      <c r="K460" s="126"/>
      <c r="L460" s="126"/>
    </row>
    <row r="461" spans="1:12">
      <c r="A461" s="158" t="s">
        <v>1131</v>
      </c>
      <c r="B461" s="158" t="s">
        <v>960</v>
      </c>
      <c r="C461" s="158">
        <f>SUM(C427:C460)</f>
        <v>127061.23999999999</v>
      </c>
      <c r="D461" s="158">
        <f>SUM(D429:D460)</f>
        <v>7391.15</v>
      </c>
      <c r="E461" s="158"/>
      <c r="F461" s="158"/>
      <c r="G461" s="158">
        <f>SUM(G428:G460)</f>
        <v>8682.82</v>
      </c>
      <c r="H461" s="350"/>
      <c r="I461" s="158">
        <f>SUM(C461:H461)</f>
        <v>143135.21</v>
      </c>
      <c r="J461" s="126"/>
      <c r="K461" s="126"/>
      <c r="L461" s="126"/>
    </row>
    <row r="462" spans="1:12">
      <c r="A462" s="351" t="s">
        <v>1155</v>
      </c>
      <c r="B462" s="126"/>
      <c r="C462" s="126"/>
      <c r="D462" s="126"/>
      <c r="E462" s="126"/>
      <c r="F462" s="126"/>
      <c r="G462" s="126"/>
      <c r="H462" s="346"/>
      <c r="I462" s="126"/>
      <c r="J462" s="349" t="s">
        <v>1155</v>
      </c>
      <c r="K462" s="54" t="s">
        <v>661</v>
      </c>
    </row>
    <row r="463" spans="1:12">
      <c r="A463" s="101">
        <v>45780</v>
      </c>
      <c r="B463" s="126" t="s">
        <v>1156</v>
      </c>
      <c r="C463" s="126"/>
      <c r="D463" s="126"/>
      <c r="E463" s="126"/>
      <c r="F463" s="126">
        <v>3600</v>
      </c>
      <c r="G463" s="126"/>
      <c r="H463" s="346">
        <v>8</v>
      </c>
      <c r="I463" s="126"/>
      <c r="J463" s="53" t="s">
        <v>613</v>
      </c>
      <c r="K463" s="54"/>
      <c r="L463" s="126">
        <f t="shared" ref="L463:L475" si="3">SUM(L428,K463)</f>
        <v>5000</v>
      </c>
    </row>
    <row r="464" spans="1:12">
      <c r="A464" s="101">
        <v>45782</v>
      </c>
      <c r="B464" s="126" t="s">
        <v>1157</v>
      </c>
      <c r="C464" s="126">
        <v>10354.549999999999</v>
      </c>
      <c r="D464" s="126">
        <v>2404.36</v>
      </c>
      <c r="E464" s="126"/>
      <c r="F464" s="126"/>
      <c r="G464" s="126"/>
      <c r="H464" s="346">
        <v>7</v>
      </c>
      <c r="I464" s="126"/>
      <c r="J464" s="55" t="s">
        <v>615</v>
      </c>
      <c r="K464" s="54"/>
      <c r="L464" s="126">
        <f t="shared" si="3"/>
        <v>28384.18</v>
      </c>
    </row>
    <row r="465" spans="1:12">
      <c r="A465" s="101">
        <v>45783</v>
      </c>
      <c r="B465" s="126" t="s">
        <v>819</v>
      </c>
      <c r="C465" s="126">
        <v>395</v>
      </c>
      <c r="D465" s="126"/>
      <c r="E465" s="126"/>
      <c r="F465" s="126"/>
      <c r="G465" s="126"/>
      <c r="H465" s="346">
        <v>8</v>
      </c>
      <c r="I465" s="126"/>
      <c r="J465" s="56" t="s">
        <v>617</v>
      </c>
      <c r="K465" s="54">
        <f>SUM(C485)</f>
        <v>6500</v>
      </c>
      <c r="L465" s="126">
        <f t="shared" si="3"/>
        <v>32500</v>
      </c>
    </row>
    <row r="466" spans="1:12">
      <c r="A466" s="101"/>
      <c r="B466" s="126" t="s">
        <v>1158</v>
      </c>
      <c r="C466" s="126">
        <v>5050</v>
      </c>
      <c r="D466" s="126"/>
      <c r="E466" s="126"/>
      <c r="F466" s="126"/>
      <c r="G466" s="126"/>
      <c r="H466" s="346">
        <v>8</v>
      </c>
      <c r="I466" s="126"/>
      <c r="J466" s="57" t="s">
        <v>619</v>
      </c>
      <c r="K466" s="54"/>
      <c r="L466" s="126">
        <f t="shared" si="3"/>
        <v>0</v>
      </c>
    </row>
    <row r="467" spans="1:12">
      <c r="A467" s="101"/>
      <c r="B467" s="126" t="s">
        <v>1159</v>
      </c>
      <c r="C467" s="126">
        <v>650</v>
      </c>
      <c r="D467" s="126"/>
      <c r="E467" s="126"/>
      <c r="F467" s="126"/>
      <c r="G467" s="126"/>
      <c r="H467" s="346">
        <v>8</v>
      </c>
      <c r="I467" s="346"/>
      <c r="J467" s="58" t="s">
        <v>621</v>
      </c>
      <c r="K467" s="54"/>
      <c r="L467" s="126">
        <f t="shared" si="3"/>
        <v>7700</v>
      </c>
    </row>
    <row r="468" spans="1:12">
      <c r="A468" s="101">
        <v>45785</v>
      </c>
      <c r="B468" s="126" t="s">
        <v>1160</v>
      </c>
      <c r="C468" s="126">
        <v>185</v>
      </c>
      <c r="D468" s="126"/>
      <c r="E468" s="126"/>
      <c r="F468" s="126"/>
      <c r="G468" s="126"/>
      <c r="H468" s="346">
        <v>8</v>
      </c>
      <c r="I468" s="346"/>
      <c r="J468" s="54" t="s">
        <v>623</v>
      </c>
      <c r="K468" s="54">
        <f>SUM(C484,D484)</f>
        <v>16500</v>
      </c>
      <c r="L468" s="126">
        <f t="shared" si="3"/>
        <v>82500</v>
      </c>
    </row>
    <row r="469" spans="1:12">
      <c r="A469" s="101"/>
      <c r="B469" s="126" t="s">
        <v>1161</v>
      </c>
      <c r="C469" s="126">
        <v>714</v>
      </c>
      <c r="D469" s="126"/>
      <c r="E469" s="126"/>
      <c r="F469" s="126"/>
      <c r="G469" s="126"/>
      <c r="H469" s="346">
        <v>7</v>
      </c>
      <c r="I469" s="346"/>
      <c r="J469" s="54" t="s">
        <v>625</v>
      </c>
      <c r="K469" s="54"/>
      <c r="L469" s="126">
        <f t="shared" si="3"/>
        <v>3000</v>
      </c>
    </row>
    <row r="470" spans="1:12">
      <c r="A470" s="101">
        <v>45787</v>
      </c>
      <c r="B470" s="126" t="s">
        <v>819</v>
      </c>
      <c r="C470" s="126">
        <v>265</v>
      </c>
      <c r="D470" s="126"/>
      <c r="E470" s="126"/>
      <c r="F470" s="126"/>
      <c r="G470" s="126"/>
      <c r="H470" s="346">
        <v>8</v>
      </c>
      <c r="I470" s="346"/>
      <c r="J470" s="54" t="s">
        <v>627</v>
      </c>
      <c r="K470" s="54">
        <f>SUM(C480)</f>
        <v>760</v>
      </c>
      <c r="L470" s="126">
        <f t="shared" si="3"/>
        <v>3610</v>
      </c>
    </row>
    <row r="471" spans="1:12">
      <c r="A471" s="342"/>
      <c r="B471" s="342" t="s">
        <v>1162</v>
      </c>
      <c r="C471" s="126">
        <v>3600</v>
      </c>
      <c r="D471" s="126"/>
      <c r="E471" s="126"/>
      <c r="F471" s="126"/>
      <c r="G471" s="126"/>
      <c r="H471" s="346">
        <v>8</v>
      </c>
      <c r="I471" s="346"/>
      <c r="J471" s="54" t="s">
        <v>629</v>
      </c>
      <c r="K471" s="54"/>
      <c r="L471" s="126">
        <f t="shared" si="3"/>
        <v>20000</v>
      </c>
    </row>
    <row r="472" spans="1:12">
      <c r="A472" s="101">
        <v>45788</v>
      </c>
      <c r="B472" s="342" t="s">
        <v>1163</v>
      </c>
      <c r="C472" s="126"/>
      <c r="D472" s="126"/>
      <c r="E472" s="126"/>
      <c r="F472" s="126">
        <v>875</v>
      </c>
      <c r="G472" s="126"/>
      <c r="H472" s="346">
        <v>8</v>
      </c>
      <c r="I472" s="346"/>
      <c r="J472" s="54" t="s">
        <v>631</v>
      </c>
      <c r="K472" s="54">
        <f>SUM(C464,D464,C469,C478,C482,D482)</f>
        <v>26414.65</v>
      </c>
      <c r="L472" s="126">
        <f t="shared" si="3"/>
        <v>69951.540000000008</v>
      </c>
    </row>
    <row r="473" spans="1:12">
      <c r="A473" s="101">
        <v>45789</v>
      </c>
      <c r="B473" s="342" t="s">
        <v>1164</v>
      </c>
      <c r="C473" s="126">
        <v>600</v>
      </c>
      <c r="D473" s="126"/>
      <c r="E473" s="126"/>
      <c r="F473" s="126"/>
      <c r="G473" s="126"/>
      <c r="H473" s="346">
        <v>8</v>
      </c>
      <c r="I473" s="346"/>
      <c r="J473" s="54" t="s">
        <v>634</v>
      </c>
      <c r="K473" s="54">
        <f>SUM(F463,C465,C466,C467,C468,C470,C471,F472,C473,C474,C475,F476,F479,F483)</f>
        <v>25094</v>
      </c>
      <c r="L473" s="126">
        <f t="shared" si="3"/>
        <v>92933.05</v>
      </c>
    </row>
    <row r="474" spans="1:12">
      <c r="A474" s="101">
        <v>45790</v>
      </c>
      <c r="B474" s="342" t="s">
        <v>1165</v>
      </c>
      <c r="C474" s="126">
        <v>350</v>
      </c>
      <c r="D474" s="126"/>
      <c r="E474" s="126"/>
      <c r="F474" s="126"/>
      <c r="G474" s="126"/>
      <c r="H474" s="346">
        <v>8</v>
      </c>
      <c r="I474" s="346"/>
      <c r="J474" s="54" t="s">
        <v>636</v>
      </c>
      <c r="K474" s="63"/>
      <c r="L474" s="126">
        <f t="shared" si="3"/>
        <v>8506</v>
      </c>
    </row>
    <row r="475" spans="1:12">
      <c r="A475" s="342"/>
      <c r="B475" s="342" t="s">
        <v>1166</v>
      </c>
      <c r="C475" s="126">
        <v>2324</v>
      </c>
      <c r="D475" s="126"/>
      <c r="E475" s="126"/>
      <c r="F475" s="126"/>
      <c r="G475" s="126"/>
      <c r="H475" s="346">
        <v>8</v>
      </c>
      <c r="I475" s="346"/>
      <c r="J475" s="54" t="s">
        <v>638</v>
      </c>
      <c r="K475" s="54">
        <f>SUM(C477,G481)</f>
        <v>55700</v>
      </c>
      <c r="L475" s="126">
        <f t="shared" si="3"/>
        <v>510381.33</v>
      </c>
    </row>
    <row r="476" spans="1:12" ht="15.75" thickBot="1">
      <c r="A476" s="342"/>
      <c r="B476" s="342" t="s">
        <v>1167</v>
      </c>
      <c r="C476" s="126"/>
      <c r="D476" s="126"/>
      <c r="E476" s="126"/>
      <c r="F476" s="126">
        <v>600</v>
      </c>
      <c r="G476" s="126"/>
      <c r="H476" s="346">
        <v>8</v>
      </c>
      <c r="I476" s="346"/>
      <c r="J476" s="172" t="s">
        <v>1155</v>
      </c>
      <c r="K476" s="173">
        <f>SUM(K463:K475)</f>
        <v>130968.65</v>
      </c>
      <c r="L476" s="344">
        <f>SUM(L463:L475)</f>
        <v>864466.10000000009</v>
      </c>
    </row>
    <row r="477" spans="1:12" ht="15.75" thickTop="1">
      <c r="A477" s="101">
        <v>45791</v>
      </c>
      <c r="B477" s="342" t="s">
        <v>1030</v>
      </c>
      <c r="C477" s="126">
        <v>50000</v>
      </c>
      <c r="D477" s="126"/>
      <c r="E477" s="126"/>
      <c r="F477" s="126"/>
      <c r="G477" s="126"/>
      <c r="H477" s="346">
        <v>10</v>
      </c>
      <c r="I477" s="346"/>
      <c r="J477" s="343"/>
      <c r="K477" s="340"/>
      <c r="L477" s="344">
        <f>SUM(L441,K476)</f>
        <v>864466.1</v>
      </c>
    </row>
    <row r="478" spans="1:12">
      <c r="A478" s="101">
        <v>45793</v>
      </c>
      <c r="B478" s="342" t="s">
        <v>1168</v>
      </c>
      <c r="C478" s="126">
        <v>2000</v>
      </c>
      <c r="D478" s="126"/>
      <c r="E478" s="126"/>
      <c r="F478" s="126"/>
      <c r="G478" s="126"/>
      <c r="H478" s="346">
        <v>7</v>
      </c>
      <c r="I478" s="346"/>
      <c r="J478" s="126"/>
      <c r="K478" s="352"/>
    </row>
    <row r="479" spans="1:12">
      <c r="A479" s="101">
        <v>45794</v>
      </c>
      <c r="B479" s="342" t="s">
        <v>1169</v>
      </c>
      <c r="C479" s="126"/>
      <c r="D479" s="126"/>
      <c r="E479" s="126"/>
      <c r="F479" s="126">
        <v>3600</v>
      </c>
      <c r="G479" s="126"/>
      <c r="H479" s="346">
        <v>8</v>
      </c>
      <c r="I479" s="346"/>
      <c r="J479" s="126"/>
      <c r="K479" s="352"/>
    </row>
    <row r="480" spans="1:12">
      <c r="A480" s="101">
        <v>45801</v>
      </c>
      <c r="B480" s="126" t="s">
        <v>1173</v>
      </c>
      <c r="C480" s="126">
        <v>760</v>
      </c>
      <c r="D480" s="126"/>
      <c r="E480" s="126"/>
      <c r="F480" s="126"/>
      <c r="G480" s="126"/>
      <c r="H480" s="346" t="s">
        <v>648</v>
      </c>
      <c r="I480" s="346"/>
      <c r="J480" s="126"/>
      <c r="K480" s="352"/>
    </row>
    <row r="481" spans="1:12">
      <c r="A481" s="101">
        <v>45803</v>
      </c>
      <c r="B481" s="342" t="s">
        <v>951</v>
      </c>
      <c r="C481" s="126"/>
      <c r="D481" s="126"/>
      <c r="E481" s="126"/>
      <c r="F481" s="126"/>
      <c r="G481" s="126">
        <v>5700</v>
      </c>
      <c r="H481" s="346">
        <v>10</v>
      </c>
      <c r="I481" s="346"/>
      <c r="J481" s="126"/>
      <c r="K481" s="352"/>
    </row>
    <row r="482" spans="1:12">
      <c r="A482" s="101">
        <v>45807</v>
      </c>
      <c r="B482" s="342" t="s">
        <v>1170</v>
      </c>
      <c r="C482" s="126">
        <v>9080</v>
      </c>
      <c r="D482" s="126">
        <v>1861.74</v>
      </c>
      <c r="E482" s="126"/>
      <c r="F482" s="126"/>
      <c r="G482" s="126"/>
      <c r="H482" s="346">
        <v>7</v>
      </c>
      <c r="I482" s="346"/>
      <c r="J482" s="126"/>
      <c r="K482" s="352"/>
    </row>
    <row r="483" spans="1:12">
      <c r="A483" s="101">
        <v>45808</v>
      </c>
      <c r="B483" s="342" t="s">
        <v>1171</v>
      </c>
      <c r="C483" s="126"/>
      <c r="D483" s="126"/>
      <c r="E483" s="126"/>
      <c r="F483" s="126">
        <v>3000</v>
      </c>
      <c r="G483" s="126"/>
      <c r="H483" s="346">
        <v>8</v>
      </c>
      <c r="I483" s="346"/>
      <c r="J483" s="126"/>
      <c r="K483" s="352"/>
    </row>
    <row r="484" spans="1:12">
      <c r="A484" s="342"/>
      <c r="B484" s="14" t="s">
        <v>1172</v>
      </c>
      <c r="C484" s="17">
        <v>10000</v>
      </c>
      <c r="D484" s="23">
        <v>6500</v>
      </c>
      <c r="E484" s="126"/>
      <c r="F484" s="126"/>
      <c r="G484" s="126"/>
      <c r="H484" s="346">
        <v>6</v>
      </c>
      <c r="I484" s="346"/>
      <c r="J484" s="126"/>
      <c r="K484" s="352"/>
    </row>
    <row r="485" spans="1:12">
      <c r="A485" s="342"/>
      <c r="B485" s="14" t="s">
        <v>749</v>
      </c>
      <c r="C485" s="32">
        <v>6500</v>
      </c>
      <c r="D485" s="23"/>
      <c r="E485" s="126"/>
      <c r="F485" s="126"/>
      <c r="G485" s="126"/>
      <c r="H485" s="346">
        <v>3</v>
      </c>
      <c r="I485" s="346"/>
      <c r="J485" s="126"/>
      <c r="K485" s="352"/>
    </row>
    <row r="486" spans="1:12">
      <c r="A486" s="353" t="s">
        <v>759</v>
      </c>
      <c r="B486" s="353" t="s">
        <v>960</v>
      </c>
      <c r="C486" s="354">
        <f>SUM(C463:C485)</f>
        <v>102827.55</v>
      </c>
      <c r="D486" s="354">
        <f>SUM(D463:D485)</f>
        <v>10766.1</v>
      </c>
      <c r="E486" s="354"/>
      <c r="F486" s="354">
        <f>SUM(F463:F485)</f>
        <v>11675</v>
      </c>
      <c r="G486" s="354">
        <f>SUM(G481:G485)</f>
        <v>5700</v>
      </c>
      <c r="H486" s="354"/>
      <c r="I486" s="354">
        <f>SUM(C486:H486)</f>
        <v>130968.65000000001</v>
      </c>
      <c r="J486" s="126"/>
      <c r="K486" s="352"/>
    </row>
    <row r="487" spans="1:12">
      <c r="A487" s="356" t="s">
        <v>760</v>
      </c>
      <c r="B487" s="342"/>
      <c r="C487" s="126"/>
      <c r="D487" s="126"/>
      <c r="E487" s="126"/>
      <c r="F487" s="126"/>
      <c r="G487" s="126"/>
      <c r="H487" s="126"/>
      <c r="I487" s="126"/>
      <c r="J487" s="126"/>
      <c r="K487" s="352"/>
    </row>
    <row r="488" spans="1:12">
      <c r="A488" s="101">
        <v>45810</v>
      </c>
      <c r="B488" s="342" t="s">
        <v>1258</v>
      </c>
      <c r="C488" s="126">
        <v>1500</v>
      </c>
      <c r="D488" s="126"/>
      <c r="E488" s="126"/>
      <c r="F488" s="126"/>
      <c r="G488" s="126"/>
      <c r="H488" s="126" t="s">
        <v>680</v>
      </c>
      <c r="I488" s="126"/>
      <c r="J488" s="349" t="s">
        <v>760</v>
      </c>
      <c r="K488" s="54" t="s">
        <v>661</v>
      </c>
    </row>
    <row r="489" spans="1:12">
      <c r="A489" s="101">
        <v>45811</v>
      </c>
      <c r="B489" s="342" t="s">
        <v>1030</v>
      </c>
      <c r="C489" s="126">
        <v>30000</v>
      </c>
      <c r="D489" s="126"/>
      <c r="E489" s="126"/>
      <c r="F489" s="126"/>
      <c r="G489" s="126"/>
      <c r="H489" s="126">
        <v>10</v>
      </c>
      <c r="I489" s="126"/>
      <c r="J489" s="53" t="s">
        <v>613</v>
      </c>
      <c r="K489" s="54"/>
      <c r="L489" s="126">
        <f>SUM(L463,K489)</f>
        <v>5000</v>
      </c>
    </row>
    <row r="490" spans="1:12">
      <c r="A490" s="101">
        <v>45815</v>
      </c>
      <c r="B490" s="126" t="s">
        <v>1259</v>
      </c>
      <c r="C490" s="126"/>
      <c r="D490" s="126"/>
      <c r="F490" s="126">
        <v>3600</v>
      </c>
      <c r="G490" s="126"/>
      <c r="H490" s="126">
        <v>8</v>
      </c>
      <c r="I490" s="126"/>
      <c r="J490" s="55" t="s">
        <v>615</v>
      </c>
      <c r="K490" s="54"/>
      <c r="L490" s="126">
        <f t="shared" ref="L490:L501" si="4">SUM(L464,K490)</f>
        <v>28384.18</v>
      </c>
    </row>
    <row r="491" spans="1:12">
      <c r="A491" s="101">
        <v>45817</v>
      </c>
      <c r="B491" s="126" t="s">
        <v>1260</v>
      </c>
      <c r="C491" s="126"/>
      <c r="D491" s="126"/>
      <c r="E491" s="126"/>
      <c r="F491" s="126"/>
      <c r="G491" s="126">
        <v>12350</v>
      </c>
      <c r="H491" s="126">
        <v>10</v>
      </c>
      <c r="I491" s="126"/>
      <c r="J491" s="56" t="s">
        <v>617</v>
      </c>
      <c r="K491" s="54">
        <f>SUM(C509)</f>
        <v>6500</v>
      </c>
      <c r="L491" s="126">
        <f t="shared" si="4"/>
        <v>39000</v>
      </c>
    </row>
    <row r="492" spans="1:12">
      <c r="A492" s="101"/>
      <c r="B492" s="126" t="s">
        <v>1261</v>
      </c>
      <c r="C492" s="126">
        <v>8000</v>
      </c>
      <c r="D492" s="126"/>
      <c r="E492" s="126"/>
      <c r="F492" s="126"/>
      <c r="G492" s="126"/>
      <c r="H492" s="126">
        <v>5</v>
      </c>
      <c r="I492" s="126"/>
      <c r="J492" s="57" t="s">
        <v>619</v>
      </c>
      <c r="K492" s="54"/>
      <c r="L492" s="126">
        <f t="shared" si="4"/>
        <v>0</v>
      </c>
    </row>
    <row r="493" spans="1:12">
      <c r="A493" s="101">
        <v>45818</v>
      </c>
      <c r="B493" s="126" t="s">
        <v>1030</v>
      </c>
      <c r="C493" s="126">
        <v>40000</v>
      </c>
      <c r="D493" s="126"/>
      <c r="E493" s="126"/>
      <c r="F493" s="126"/>
      <c r="G493" s="126"/>
      <c r="H493" s="126">
        <v>10</v>
      </c>
      <c r="I493" s="126"/>
      <c r="J493" s="58" t="s">
        <v>621</v>
      </c>
      <c r="K493" s="54">
        <f>SUM(C492,C505)</f>
        <v>8500</v>
      </c>
      <c r="L493" s="126">
        <f t="shared" si="4"/>
        <v>16200</v>
      </c>
    </row>
    <row r="494" spans="1:12">
      <c r="A494" s="101">
        <v>45819</v>
      </c>
      <c r="B494" s="126" t="s">
        <v>1262</v>
      </c>
      <c r="C494" s="126">
        <v>714</v>
      </c>
      <c r="D494" s="126"/>
      <c r="E494" s="126"/>
      <c r="F494" s="126"/>
      <c r="G494" s="126"/>
      <c r="H494" s="126">
        <v>7</v>
      </c>
      <c r="I494" s="126"/>
      <c r="J494" s="54" t="s">
        <v>623</v>
      </c>
      <c r="K494" s="54">
        <f>SUM(C508,D508)</f>
        <v>16500</v>
      </c>
      <c r="L494" s="126">
        <f t="shared" si="4"/>
        <v>99000</v>
      </c>
    </row>
    <row r="495" spans="1:12">
      <c r="A495" s="101"/>
      <c r="B495" s="126" t="s">
        <v>1263</v>
      </c>
      <c r="C495" s="126">
        <v>760</v>
      </c>
      <c r="D495" s="126"/>
      <c r="E495" s="126"/>
      <c r="F495" s="126"/>
      <c r="G495" s="126"/>
      <c r="H495" s="126" t="s">
        <v>648</v>
      </c>
      <c r="I495" s="126"/>
      <c r="J495" s="54" t="s">
        <v>625</v>
      </c>
      <c r="K495" s="54">
        <f>SUM(C488)</f>
        <v>1500</v>
      </c>
      <c r="L495" s="126">
        <f t="shared" si="4"/>
        <v>4500</v>
      </c>
    </row>
    <row r="496" spans="1:12">
      <c r="A496" s="101">
        <v>45820</v>
      </c>
      <c r="B496" s="126" t="s">
        <v>1264</v>
      </c>
      <c r="C496" s="126">
        <v>159.25</v>
      </c>
      <c r="D496" s="126"/>
      <c r="E496" s="126"/>
      <c r="F496" s="126"/>
      <c r="G496" s="126"/>
      <c r="H496" s="126">
        <v>8</v>
      </c>
      <c r="I496" s="126"/>
      <c r="J496" s="54" t="s">
        <v>627</v>
      </c>
      <c r="K496" s="54">
        <f>SUM(C495)</f>
        <v>760</v>
      </c>
      <c r="L496" s="126">
        <f t="shared" si="4"/>
        <v>4370</v>
      </c>
    </row>
    <row r="497" spans="1:12">
      <c r="A497" s="101">
        <v>45822</v>
      </c>
      <c r="B497" s="126" t="s">
        <v>692</v>
      </c>
      <c r="C497" s="126">
        <v>2000</v>
      </c>
      <c r="D497" s="126"/>
      <c r="E497" s="126"/>
      <c r="F497" s="126"/>
      <c r="G497" s="126"/>
      <c r="H497" s="126">
        <v>7</v>
      </c>
      <c r="I497" s="126"/>
      <c r="J497" s="54" t="s">
        <v>629</v>
      </c>
      <c r="K497" s="54"/>
      <c r="L497" s="126">
        <f t="shared" si="4"/>
        <v>20000</v>
      </c>
    </row>
    <row r="498" spans="1:12">
      <c r="A498" s="101"/>
      <c r="B498" s="126" t="s">
        <v>1265</v>
      </c>
      <c r="C498" s="126"/>
      <c r="D498" s="126"/>
      <c r="E498" s="126"/>
      <c r="F498" s="126">
        <v>3600</v>
      </c>
      <c r="G498" s="126"/>
      <c r="H498" s="126">
        <v>8</v>
      </c>
      <c r="I498" s="126"/>
      <c r="J498" s="54" t="s">
        <v>631</v>
      </c>
      <c r="K498" s="54">
        <f>SUM(C494,C497)</f>
        <v>2714</v>
      </c>
      <c r="L498" s="126">
        <f t="shared" si="4"/>
        <v>72665.540000000008</v>
      </c>
    </row>
    <row r="499" spans="1:12">
      <c r="A499" s="101">
        <v>45824</v>
      </c>
      <c r="B499" s="126" t="s">
        <v>822</v>
      </c>
      <c r="C499" s="126"/>
      <c r="D499" s="126"/>
      <c r="E499" s="126"/>
      <c r="F499" s="126"/>
      <c r="G499" s="126">
        <v>8929.4</v>
      </c>
      <c r="H499" s="126">
        <v>10</v>
      </c>
      <c r="I499" s="126"/>
      <c r="J499" s="54" t="s">
        <v>634</v>
      </c>
      <c r="K499" s="54">
        <f>SUM(F490,C496,F498,C500,C501,D502,C503,D504,F507)</f>
        <v>16532.5</v>
      </c>
      <c r="L499" s="126">
        <f t="shared" si="4"/>
        <v>109465.55</v>
      </c>
    </row>
    <row r="500" spans="1:12">
      <c r="A500" s="101"/>
      <c r="B500" s="126" t="s">
        <v>1266</v>
      </c>
      <c r="C500" s="126">
        <v>2121.5</v>
      </c>
      <c r="D500" s="126"/>
      <c r="E500" s="126"/>
      <c r="F500" s="126"/>
      <c r="G500" s="126"/>
      <c r="H500" s="126">
        <v>8</v>
      </c>
      <c r="I500" s="126"/>
      <c r="J500" s="54" t="s">
        <v>636</v>
      </c>
      <c r="K500" s="63"/>
      <c r="L500" s="126">
        <f t="shared" si="4"/>
        <v>8506</v>
      </c>
    </row>
    <row r="501" spans="1:12">
      <c r="A501" s="101">
        <v>45827</v>
      </c>
      <c r="B501" s="126" t="s">
        <v>1267</v>
      </c>
      <c r="C501" s="126">
        <v>1701.75</v>
      </c>
      <c r="D501" s="126"/>
      <c r="E501" s="126"/>
      <c r="F501" s="126"/>
      <c r="G501" s="126"/>
      <c r="H501" s="126">
        <v>8</v>
      </c>
      <c r="I501" s="126"/>
      <c r="J501" s="54" t="s">
        <v>638</v>
      </c>
      <c r="K501" s="54">
        <f>SUM(C489,G491,C493,G499,G506)</f>
        <v>96979.4</v>
      </c>
      <c r="L501" s="126">
        <f t="shared" si="4"/>
        <v>607360.73</v>
      </c>
    </row>
    <row r="502" spans="1:12" ht="15.75" thickBot="1">
      <c r="A502" s="126"/>
      <c r="B502" s="126" t="s">
        <v>1268</v>
      </c>
      <c r="C502" s="126"/>
      <c r="D502" s="126">
        <v>550</v>
      </c>
      <c r="E502" s="126"/>
      <c r="F502" s="126"/>
      <c r="G502" s="126"/>
      <c r="H502" s="126">
        <v>8</v>
      </c>
      <c r="I502" s="126"/>
      <c r="J502" s="172" t="s">
        <v>760</v>
      </c>
      <c r="K502" s="361">
        <f>SUM(K489:K501)</f>
        <v>149985.9</v>
      </c>
      <c r="L502" s="358">
        <f>SUM(L489:L501)</f>
        <v>1014452</v>
      </c>
    </row>
    <row r="503" spans="1:12" ht="15.75" thickTop="1">
      <c r="A503" s="101">
        <v>45828</v>
      </c>
      <c r="B503" s="126" t="s">
        <v>1269</v>
      </c>
      <c r="C503" s="126">
        <v>1800</v>
      </c>
      <c r="D503" s="126"/>
      <c r="E503" s="126"/>
      <c r="F503" s="126"/>
      <c r="G503" s="126"/>
      <c r="H503" s="126">
        <v>8</v>
      </c>
      <c r="I503" s="126"/>
      <c r="J503" s="343"/>
      <c r="K503" s="362"/>
      <c r="L503" s="358">
        <f>SUM(L476,K502)</f>
        <v>1014452.0000000001</v>
      </c>
    </row>
    <row r="504" spans="1:12">
      <c r="A504" s="126"/>
      <c r="B504" s="126" t="s">
        <v>1270</v>
      </c>
      <c r="C504" s="126"/>
      <c r="D504" s="126">
        <v>600</v>
      </c>
      <c r="E504" s="126"/>
      <c r="F504" s="126"/>
      <c r="G504" s="126"/>
      <c r="H504" s="126">
        <v>8</v>
      </c>
      <c r="I504" s="126"/>
    </row>
    <row r="505" spans="1:12">
      <c r="A505" s="126"/>
      <c r="B505" s="126" t="s">
        <v>1271</v>
      </c>
      <c r="C505" s="126">
        <v>500</v>
      </c>
      <c r="D505" s="126"/>
      <c r="E505" s="126"/>
      <c r="F505" s="126"/>
      <c r="G505" s="126"/>
      <c r="H505" s="126">
        <v>5</v>
      </c>
      <c r="I505" s="126"/>
    </row>
    <row r="506" spans="1:12">
      <c r="A506" s="101">
        <v>45831</v>
      </c>
      <c r="B506" s="126" t="s">
        <v>951</v>
      </c>
      <c r="C506" s="126"/>
      <c r="D506" s="126"/>
      <c r="E506" s="126"/>
      <c r="F506" s="126"/>
      <c r="G506" s="126">
        <v>5700</v>
      </c>
      <c r="H506" s="126">
        <v>10</v>
      </c>
      <c r="I506" s="126"/>
    </row>
    <row r="507" spans="1:12">
      <c r="A507" s="101">
        <v>45836</v>
      </c>
      <c r="B507" s="126" t="s">
        <v>846</v>
      </c>
      <c r="C507" s="126"/>
      <c r="D507" s="126"/>
      <c r="E507" s="126"/>
      <c r="F507" s="126">
        <v>2400</v>
      </c>
      <c r="G507" s="126"/>
      <c r="H507" s="126">
        <v>8</v>
      </c>
      <c r="I507" s="126"/>
    </row>
    <row r="508" spans="1:12">
      <c r="A508" s="101">
        <v>45838</v>
      </c>
      <c r="B508" s="14" t="s">
        <v>1272</v>
      </c>
      <c r="C508" s="17">
        <v>10000</v>
      </c>
      <c r="D508" s="23">
        <v>6500</v>
      </c>
      <c r="E508" s="126"/>
      <c r="F508" s="126"/>
      <c r="G508" s="126"/>
      <c r="H508" s="126">
        <v>6</v>
      </c>
      <c r="I508" s="126"/>
    </row>
    <row r="509" spans="1:12">
      <c r="A509" s="126"/>
      <c r="B509" s="14" t="s">
        <v>749</v>
      </c>
      <c r="C509" s="32">
        <v>6500</v>
      </c>
      <c r="D509" s="23"/>
      <c r="E509" s="126"/>
      <c r="F509" s="126"/>
      <c r="G509" s="126"/>
      <c r="H509" s="126">
        <v>3</v>
      </c>
      <c r="I509" s="126"/>
    </row>
    <row r="510" spans="1:12">
      <c r="A510" s="359" t="s">
        <v>760</v>
      </c>
      <c r="B510" s="360" t="s">
        <v>960</v>
      </c>
      <c r="C510" s="360">
        <f>SUM(C488:C509)</f>
        <v>105756.5</v>
      </c>
      <c r="D510" s="360">
        <f>SUM(D488:D509)</f>
        <v>7650</v>
      </c>
      <c r="E510" s="360"/>
      <c r="F510" s="360">
        <f>SUM(F488:F509)</f>
        <v>9600</v>
      </c>
      <c r="G510" s="360">
        <f>SUM(G488:G509)</f>
        <v>26979.4</v>
      </c>
      <c r="H510" s="360"/>
      <c r="I510" s="360">
        <f>SUM(C510:H510)</f>
        <v>149985.9</v>
      </c>
      <c r="J510" s="357"/>
      <c r="K510" s="357"/>
    </row>
    <row r="511" spans="1:12">
      <c r="A511" s="358" t="s">
        <v>769</v>
      </c>
      <c r="B511" s="358"/>
      <c r="C511" s="358"/>
      <c r="D511" s="358"/>
      <c r="E511" s="358"/>
      <c r="F511" s="358"/>
      <c r="G511" s="358"/>
      <c r="H511" s="358"/>
      <c r="I511" s="358"/>
      <c r="J511" s="357"/>
      <c r="K511" s="357"/>
    </row>
    <row r="512" spans="1:12">
      <c r="A512" s="101">
        <v>45839</v>
      </c>
      <c r="B512" s="126" t="s">
        <v>1350</v>
      </c>
      <c r="C512" s="126">
        <v>1700</v>
      </c>
      <c r="D512" s="126"/>
      <c r="E512" s="126"/>
      <c r="F512" s="126"/>
      <c r="G512" s="126"/>
      <c r="H512" s="126">
        <v>9</v>
      </c>
      <c r="I512" s="126"/>
      <c r="J512" s="349" t="s">
        <v>769</v>
      </c>
      <c r="K512" s="54" t="s">
        <v>661</v>
      </c>
    </row>
    <row r="513" spans="1:12">
      <c r="A513" s="101">
        <v>45840</v>
      </c>
      <c r="B513" s="126" t="s">
        <v>1351</v>
      </c>
      <c r="C513" s="126">
        <v>9195.7099999999991</v>
      </c>
      <c r="D513" s="126">
        <v>1507.78</v>
      </c>
      <c r="E513" s="126"/>
      <c r="F513" s="126"/>
      <c r="G513" s="126"/>
      <c r="H513" s="126">
        <v>7</v>
      </c>
      <c r="I513" s="126"/>
      <c r="J513" s="53" t="s">
        <v>613</v>
      </c>
      <c r="K513" s="54"/>
      <c r="L513" s="126">
        <f t="shared" ref="L513:L525" si="5">SUM(L489,K513)</f>
        <v>5000</v>
      </c>
    </row>
    <row r="514" spans="1:12">
      <c r="A514" s="101">
        <v>45841</v>
      </c>
      <c r="B514" s="126" t="s">
        <v>1030</v>
      </c>
      <c r="D514" s="126"/>
      <c r="E514" s="126"/>
      <c r="F514" s="126"/>
      <c r="G514" s="126">
        <v>40000</v>
      </c>
      <c r="H514" s="126">
        <v>10</v>
      </c>
      <c r="I514" s="126"/>
      <c r="J514" s="55" t="s">
        <v>615</v>
      </c>
      <c r="K514" s="54"/>
      <c r="L514" s="126">
        <f t="shared" si="5"/>
        <v>28384.18</v>
      </c>
    </row>
    <row r="515" spans="1:12">
      <c r="A515" s="101"/>
      <c r="B515" s="126" t="s">
        <v>1352</v>
      </c>
      <c r="C515" s="126">
        <v>626</v>
      </c>
      <c r="D515" s="126"/>
      <c r="E515" s="126"/>
      <c r="F515" s="126"/>
      <c r="G515" s="126"/>
      <c r="H515" s="126">
        <v>8</v>
      </c>
      <c r="I515" s="126"/>
      <c r="J515" s="56" t="s">
        <v>617</v>
      </c>
      <c r="K515" s="54">
        <f>SUM(C551)</f>
        <v>6500</v>
      </c>
      <c r="L515" s="126">
        <f t="shared" si="5"/>
        <v>45500</v>
      </c>
    </row>
    <row r="516" spans="1:12">
      <c r="A516" s="101">
        <v>45842</v>
      </c>
      <c r="B516" s="126" t="s">
        <v>650</v>
      </c>
      <c r="C516" s="126"/>
      <c r="D516" s="126">
        <v>1745</v>
      </c>
      <c r="E516" s="126"/>
      <c r="F516" s="126"/>
      <c r="G516" s="126"/>
      <c r="H516" s="126">
        <v>10</v>
      </c>
      <c r="I516" s="126"/>
      <c r="J516" s="57" t="s">
        <v>619</v>
      </c>
      <c r="K516" s="54"/>
      <c r="L516" s="126">
        <f t="shared" si="5"/>
        <v>0</v>
      </c>
    </row>
    <row r="517" spans="1:12">
      <c r="A517" s="101">
        <v>45847</v>
      </c>
      <c r="B517" s="126" t="s">
        <v>1030</v>
      </c>
      <c r="D517" s="126"/>
      <c r="E517" s="126"/>
      <c r="F517" s="126"/>
      <c r="G517" s="126">
        <v>40000</v>
      </c>
      <c r="H517" s="126">
        <v>10</v>
      </c>
      <c r="I517" s="126"/>
      <c r="J517" s="58" t="s">
        <v>621</v>
      </c>
      <c r="K517" s="54">
        <f>SUM(C519,C520)</f>
        <v>500</v>
      </c>
      <c r="L517" s="126">
        <f t="shared" si="5"/>
        <v>16700</v>
      </c>
    </row>
    <row r="518" spans="1:12">
      <c r="A518" s="101"/>
      <c r="B518" s="126" t="s">
        <v>1353</v>
      </c>
      <c r="C518" s="126">
        <v>714</v>
      </c>
      <c r="D518" s="126"/>
      <c r="E518" s="126"/>
      <c r="F518" s="126"/>
      <c r="G518" s="126"/>
      <c r="H518" s="126">
        <v>7</v>
      </c>
      <c r="I518" s="126"/>
      <c r="J518" s="54" t="s">
        <v>623</v>
      </c>
      <c r="K518" s="54">
        <f>SUM(C550,D550)</f>
        <v>16500</v>
      </c>
      <c r="L518" s="126">
        <f t="shared" si="5"/>
        <v>115500</v>
      </c>
    </row>
    <row r="519" spans="1:12">
      <c r="A519" s="101">
        <v>45848</v>
      </c>
      <c r="B519" s="126" t="s">
        <v>1271</v>
      </c>
      <c r="C519" s="126">
        <v>250</v>
      </c>
      <c r="D519" s="126"/>
      <c r="E519" s="126"/>
      <c r="F519" s="126"/>
      <c r="G519" s="126"/>
      <c r="H519" s="126">
        <v>5</v>
      </c>
      <c r="I519" s="126"/>
      <c r="J519" s="54" t="s">
        <v>625</v>
      </c>
      <c r="K519" s="54"/>
      <c r="L519" s="126">
        <f t="shared" si="5"/>
        <v>4500</v>
      </c>
    </row>
    <row r="520" spans="1:12">
      <c r="A520" s="101"/>
      <c r="B520" s="126" t="s">
        <v>1354</v>
      </c>
      <c r="C520" s="126">
        <v>250</v>
      </c>
      <c r="D520" s="126"/>
      <c r="E520" s="126"/>
      <c r="F520" s="126"/>
      <c r="G520" s="126"/>
      <c r="H520" s="126">
        <v>5</v>
      </c>
      <c r="I520" s="126"/>
      <c r="J520" s="54" t="s">
        <v>627</v>
      </c>
      <c r="K520" s="54">
        <f>SUM(C526)</f>
        <v>760</v>
      </c>
      <c r="L520" s="126">
        <f t="shared" si="5"/>
        <v>5130</v>
      </c>
    </row>
    <row r="521" spans="1:12">
      <c r="A521" s="101">
        <v>45854</v>
      </c>
      <c r="B521" s="342" t="s">
        <v>1030</v>
      </c>
      <c r="G521" s="126">
        <v>20000</v>
      </c>
      <c r="H521" s="126">
        <v>10</v>
      </c>
      <c r="J521" s="54" t="s">
        <v>629</v>
      </c>
      <c r="K521" s="54"/>
      <c r="L521" s="126">
        <f t="shared" si="5"/>
        <v>20000</v>
      </c>
    </row>
    <row r="522" spans="1:12">
      <c r="A522" s="101">
        <v>45857</v>
      </c>
      <c r="B522" s="342" t="s">
        <v>1355</v>
      </c>
      <c r="C522" s="126">
        <v>1800</v>
      </c>
      <c r="H522" s="126">
        <v>8</v>
      </c>
      <c r="J522" s="54" t="s">
        <v>631</v>
      </c>
      <c r="K522" s="54">
        <f>SUM(C513,D513,C518,C524)</f>
        <v>13417.49</v>
      </c>
      <c r="L522" s="126">
        <f t="shared" si="5"/>
        <v>86083.030000000013</v>
      </c>
    </row>
    <row r="523" spans="1:12">
      <c r="A523" s="101"/>
      <c r="B523" s="342" t="s">
        <v>1356</v>
      </c>
      <c r="C523" s="126"/>
      <c r="D523" s="126">
        <v>600</v>
      </c>
      <c r="E523" s="126"/>
      <c r="F523" s="126"/>
      <c r="G523" s="126"/>
      <c r="H523" s="126">
        <v>8</v>
      </c>
      <c r="I523" s="126"/>
      <c r="J523" s="54" t="s">
        <v>634</v>
      </c>
      <c r="K523" s="54">
        <f>SUM(C515,C522,D523,D530,D531,D533,C534,C535,C536)</f>
        <v>19226</v>
      </c>
      <c r="L523" s="126">
        <f t="shared" si="5"/>
        <v>128691.55</v>
      </c>
    </row>
    <row r="524" spans="1:12">
      <c r="A524" s="101">
        <v>45858</v>
      </c>
      <c r="B524" s="342" t="s">
        <v>664</v>
      </c>
      <c r="C524" s="126">
        <v>2000</v>
      </c>
      <c r="D524" s="126"/>
      <c r="E524" s="126"/>
      <c r="F524" s="126"/>
      <c r="G524" s="126"/>
      <c r="H524" s="126">
        <v>7</v>
      </c>
      <c r="I524" s="126"/>
      <c r="J524" s="54" t="s">
        <v>636</v>
      </c>
      <c r="K524" s="63">
        <f>SUM(C512,C529)</f>
        <v>2595.75</v>
      </c>
      <c r="L524" s="126">
        <f t="shared" si="5"/>
        <v>11101.75</v>
      </c>
    </row>
    <row r="525" spans="1:12">
      <c r="A525" s="101">
        <v>45859</v>
      </c>
      <c r="B525" s="342" t="s">
        <v>1357</v>
      </c>
      <c r="C525" s="126"/>
      <c r="D525" s="126">
        <v>924.1</v>
      </c>
      <c r="E525" s="126"/>
      <c r="F525" s="126"/>
      <c r="G525" s="126"/>
      <c r="H525" s="126">
        <v>10</v>
      </c>
      <c r="I525" s="126"/>
      <c r="J525" s="54" t="s">
        <v>638</v>
      </c>
      <c r="K525" s="54">
        <f>SUM(G514,G517,G521,D525,D527,G528,D532,D537,G538,G539,G540,G541,G542,G543,G544,G545,G546,G547,G548,G549,D516)</f>
        <v>196592.24000000002</v>
      </c>
      <c r="L525" s="126">
        <f t="shared" si="5"/>
        <v>803952.97</v>
      </c>
    </row>
    <row r="526" spans="1:12" ht="15.75" thickBot="1">
      <c r="A526" s="101">
        <v>45860</v>
      </c>
      <c r="B526" s="342" t="s">
        <v>1358</v>
      </c>
      <c r="C526" s="126">
        <v>760</v>
      </c>
      <c r="D526" s="126"/>
      <c r="E526" s="126"/>
      <c r="F526" s="126"/>
      <c r="G526" s="126"/>
      <c r="H526" s="126" t="s">
        <v>648</v>
      </c>
      <c r="I526" s="126"/>
      <c r="J526" s="172" t="s">
        <v>769</v>
      </c>
      <c r="K526" s="361">
        <f>SUM(K514:K525)</f>
        <v>256091.48</v>
      </c>
      <c r="L526" s="358">
        <f>SUM(L513:L525)</f>
        <v>1270543.48</v>
      </c>
    </row>
    <row r="527" spans="1:12" ht="15.75" thickTop="1">
      <c r="A527" s="101"/>
      <c r="B527" s="342" t="s">
        <v>1359</v>
      </c>
      <c r="C527" s="126"/>
      <c r="D527" s="126">
        <v>1836.4</v>
      </c>
      <c r="E527" s="126"/>
      <c r="F527" s="126"/>
      <c r="G527" s="126"/>
      <c r="H527" s="126">
        <v>10</v>
      </c>
      <c r="I527" s="126"/>
      <c r="J527" s="343"/>
      <c r="K527" s="362"/>
      <c r="L527" s="358">
        <f>SUM(L502,K526)</f>
        <v>1270543.48</v>
      </c>
    </row>
    <row r="528" spans="1:12">
      <c r="A528" s="101">
        <v>45863</v>
      </c>
      <c r="B528" s="342" t="s">
        <v>1360</v>
      </c>
      <c r="C528" s="126"/>
      <c r="D528" s="126"/>
      <c r="E528" s="126"/>
      <c r="F528" s="126"/>
      <c r="G528" s="126">
        <v>29437.89</v>
      </c>
      <c r="H528" s="126">
        <v>10</v>
      </c>
      <c r="I528" s="126"/>
      <c r="J528" s="126"/>
    </row>
    <row r="529" spans="1:10">
      <c r="A529" s="101"/>
      <c r="B529" s="342" t="s">
        <v>1361</v>
      </c>
      <c r="C529" s="126">
        <v>895.75</v>
      </c>
      <c r="D529" s="126"/>
      <c r="E529" s="126"/>
      <c r="F529" s="126"/>
      <c r="G529" s="126"/>
      <c r="H529" s="126">
        <v>9</v>
      </c>
      <c r="I529" s="126"/>
      <c r="J529" s="126"/>
    </row>
    <row r="530" spans="1:10">
      <c r="A530" s="101">
        <v>45864</v>
      </c>
      <c r="B530" s="342" t="s">
        <v>1362</v>
      </c>
      <c r="C530" s="126"/>
      <c r="D530" s="126">
        <v>1200</v>
      </c>
      <c r="E530" s="126"/>
      <c r="F530" s="126"/>
      <c r="G530" s="126"/>
      <c r="H530" s="126">
        <v>8</v>
      </c>
      <c r="I530" s="126"/>
      <c r="J530" s="126"/>
    </row>
    <row r="531" spans="1:10">
      <c r="A531" s="101"/>
      <c r="B531" s="342" t="s">
        <v>1363</v>
      </c>
      <c r="C531" s="126"/>
      <c r="D531" s="126">
        <v>1800</v>
      </c>
      <c r="E531" s="126"/>
      <c r="F531" s="126"/>
      <c r="G531" s="126"/>
      <c r="H531" s="126">
        <v>8</v>
      </c>
      <c r="I531" s="126"/>
      <c r="J531" s="126"/>
    </row>
    <row r="532" spans="1:10">
      <c r="A532" s="101">
        <v>37466</v>
      </c>
      <c r="B532" s="342" t="s">
        <v>841</v>
      </c>
      <c r="C532" s="126"/>
      <c r="D532" s="126">
        <v>2872.85</v>
      </c>
      <c r="E532" s="126"/>
      <c r="F532" s="126"/>
      <c r="G532" s="126"/>
      <c r="H532" s="126">
        <v>10</v>
      </c>
      <c r="I532" s="126"/>
      <c r="J532" s="126"/>
    </row>
    <row r="533" spans="1:10">
      <c r="A533" s="101"/>
      <c r="B533" s="342" t="s">
        <v>1364</v>
      </c>
      <c r="C533" s="126"/>
      <c r="D533" s="126">
        <v>600</v>
      </c>
      <c r="E533" s="126"/>
      <c r="F533" s="126"/>
      <c r="G533" s="126"/>
      <c r="H533" s="126">
        <v>8</v>
      </c>
      <c r="I533" s="126"/>
      <c r="J533" s="126"/>
    </row>
    <row r="534" spans="1:10">
      <c r="A534" s="101"/>
      <c r="B534" s="342" t="s">
        <v>1365</v>
      </c>
      <c r="C534" s="126">
        <v>5400</v>
      </c>
      <c r="D534" s="126"/>
      <c r="E534" s="126"/>
      <c r="F534" s="126"/>
      <c r="G534" s="126"/>
      <c r="H534" s="126">
        <v>8</v>
      </c>
      <c r="I534" s="126"/>
      <c r="J534" s="126"/>
    </row>
    <row r="535" spans="1:10">
      <c r="A535" s="101"/>
      <c r="B535" s="342" t="s">
        <v>1366</v>
      </c>
      <c r="C535" s="126">
        <v>6200</v>
      </c>
      <c r="D535" s="342"/>
      <c r="E535" s="342"/>
      <c r="F535" s="342"/>
      <c r="G535" s="342"/>
      <c r="H535" s="126">
        <v>8</v>
      </c>
    </row>
    <row r="536" spans="1:10">
      <c r="A536" s="101">
        <v>45868</v>
      </c>
      <c r="B536" s="342" t="s">
        <v>1361</v>
      </c>
      <c r="C536" s="126">
        <v>1000</v>
      </c>
      <c r="D536" s="342"/>
      <c r="E536" s="342"/>
      <c r="F536" s="342"/>
      <c r="G536" s="342"/>
      <c r="H536" s="126">
        <v>8</v>
      </c>
    </row>
    <row r="537" spans="1:10">
      <c r="A537" s="101"/>
      <c r="B537" s="342" t="s">
        <v>1367</v>
      </c>
      <c r="C537" s="342"/>
      <c r="D537" s="126">
        <v>25400</v>
      </c>
      <c r="E537" s="342"/>
      <c r="F537" s="342"/>
      <c r="G537" s="342"/>
      <c r="H537" s="126">
        <v>10</v>
      </c>
    </row>
    <row r="538" spans="1:10">
      <c r="A538" s="101"/>
      <c r="B538" s="342" t="s">
        <v>1368</v>
      </c>
      <c r="C538" s="126"/>
      <c r="D538" s="126"/>
      <c r="E538" s="126"/>
      <c r="F538" s="126"/>
      <c r="G538" s="126">
        <v>3935</v>
      </c>
      <c r="H538" s="126">
        <v>10</v>
      </c>
      <c r="I538" s="126"/>
      <c r="J538" s="126"/>
    </row>
    <row r="539" spans="1:10">
      <c r="A539" s="101"/>
      <c r="B539" s="126" t="s">
        <v>1369</v>
      </c>
      <c r="C539" s="126"/>
      <c r="D539" s="126"/>
      <c r="E539" s="126"/>
      <c r="F539" s="126"/>
      <c r="G539" s="126">
        <v>900</v>
      </c>
      <c r="H539" s="126">
        <v>10</v>
      </c>
      <c r="J539" s="126"/>
    </row>
    <row r="540" spans="1:10">
      <c r="A540" s="101"/>
      <c r="B540" s="126" t="s">
        <v>1370</v>
      </c>
      <c r="C540" s="126"/>
      <c r="D540" s="126"/>
      <c r="E540" s="126"/>
      <c r="F540" s="126"/>
      <c r="G540" s="126">
        <v>1650</v>
      </c>
      <c r="H540" s="126">
        <v>10</v>
      </c>
      <c r="J540" s="126"/>
    </row>
    <row r="541" spans="1:10">
      <c r="A541" s="101"/>
      <c r="B541" s="126" t="s">
        <v>1371</v>
      </c>
      <c r="C541" s="126"/>
      <c r="D541" s="126"/>
      <c r="E541" s="126"/>
      <c r="F541" s="126"/>
      <c r="G541" s="126">
        <v>2000</v>
      </c>
      <c r="H541" s="126">
        <v>10</v>
      </c>
      <c r="J541" s="126"/>
    </row>
    <row r="542" spans="1:10">
      <c r="A542" s="101"/>
      <c r="B542" s="126" t="s">
        <v>1372</v>
      </c>
      <c r="C542" s="126"/>
      <c r="D542" s="126"/>
      <c r="E542" s="126"/>
      <c r="F542" s="126"/>
      <c r="G542" s="126">
        <v>350</v>
      </c>
      <c r="H542" s="126">
        <v>10</v>
      </c>
      <c r="J542" s="126"/>
    </row>
    <row r="543" spans="1:10">
      <c r="A543" s="101">
        <v>45869</v>
      </c>
      <c r="B543" s="126" t="s">
        <v>1373</v>
      </c>
      <c r="C543" s="126"/>
      <c r="D543" s="126"/>
      <c r="E543" s="126"/>
      <c r="F543" s="126"/>
      <c r="G543" s="126">
        <v>15100</v>
      </c>
      <c r="H543" s="126">
        <v>10</v>
      </c>
      <c r="J543" s="126"/>
    </row>
    <row r="544" spans="1:10">
      <c r="A544" s="101"/>
      <c r="B544" s="126" t="s">
        <v>1374</v>
      </c>
      <c r="C544" s="126"/>
      <c r="D544" s="126"/>
      <c r="E544" s="126"/>
      <c r="F544" s="126"/>
      <c r="G544" s="126">
        <v>660</v>
      </c>
      <c r="H544" s="126">
        <v>10</v>
      </c>
      <c r="J544" s="126"/>
    </row>
    <row r="545" spans="1:13">
      <c r="A545" s="101"/>
      <c r="B545" s="126" t="s">
        <v>1375</v>
      </c>
      <c r="C545" s="126"/>
      <c r="D545" s="126"/>
      <c r="E545" s="126"/>
      <c r="F545" s="126"/>
      <c r="G545" s="126">
        <v>981</v>
      </c>
      <c r="H545" s="126">
        <v>10</v>
      </c>
      <c r="J545" s="126"/>
    </row>
    <row r="546" spans="1:13">
      <c r="A546" s="101"/>
      <c r="B546" s="126" t="s">
        <v>1376</v>
      </c>
      <c r="C546" s="126"/>
      <c r="D546" s="126"/>
      <c r="E546" s="126"/>
      <c r="F546" s="126"/>
      <c r="G546" s="126">
        <v>3000</v>
      </c>
      <c r="H546" s="126">
        <v>10</v>
      </c>
      <c r="J546" s="126"/>
    </row>
    <row r="547" spans="1:13">
      <c r="A547" s="101"/>
      <c r="B547" s="126" t="s">
        <v>1377</v>
      </c>
      <c r="C547" s="126"/>
      <c r="D547" s="126"/>
      <c r="E547" s="126"/>
      <c r="F547" s="126"/>
      <c r="G547" s="126">
        <v>1000</v>
      </c>
      <c r="H547" s="126">
        <v>10</v>
      </c>
      <c r="J547" s="126"/>
    </row>
    <row r="548" spans="1:13">
      <c r="A548" s="101"/>
      <c r="B548" s="126" t="s">
        <v>1378</v>
      </c>
      <c r="C548" s="126"/>
      <c r="D548" s="126"/>
      <c r="E548" s="126"/>
      <c r="F548" s="126"/>
      <c r="G548" s="126">
        <v>2300</v>
      </c>
      <c r="H548" s="126">
        <v>10</v>
      </c>
      <c r="J548" s="126"/>
    </row>
    <row r="549" spans="1:13">
      <c r="A549" s="101"/>
      <c r="B549" s="126" t="s">
        <v>1379</v>
      </c>
      <c r="C549" s="126"/>
      <c r="D549" s="126"/>
      <c r="E549" s="126"/>
      <c r="F549" s="126"/>
      <c r="G549" s="126">
        <v>2500</v>
      </c>
      <c r="H549" s="126">
        <v>10</v>
      </c>
      <c r="J549" s="126"/>
    </row>
    <row r="550" spans="1:13">
      <c r="A550" s="101"/>
      <c r="B550" s="126" t="s">
        <v>1380</v>
      </c>
      <c r="C550" s="17">
        <v>10000</v>
      </c>
      <c r="D550" s="23">
        <v>6500</v>
      </c>
      <c r="E550" s="126"/>
      <c r="F550" s="126"/>
      <c r="G550" s="126"/>
      <c r="H550" s="126">
        <v>6</v>
      </c>
      <c r="I550" s="126"/>
      <c r="J550" s="126"/>
    </row>
    <row r="551" spans="1:13">
      <c r="B551" s="14" t="s">
        <v>749</v>
      </c>
      <c r="C551" s="126">
        <v>6500</v>
      </c>
      <c r="D551" s="126"/>
      <c r="E551" s="126"/>
      <c r="F551" s="126"/>
      <c r="G551" s="126"/>
      <c r="H551" s="126">
        <v>3</v>
      </c>
      <c r="I551" s="126"/>
      <c r="J551" s="126"/>
    </row>
    <row r="552" spans="1:13" ht="15.75" thickBot="1">
      <c r="A552" s="364" t="s">
        <v>769</v>
      </c>
      <c r="B552" s="365" t="s">
        <v>960</v>
      </c>
      <c r="C552" s="365">
        <f>SUM(C512:C551)</f>
        <v>47291.46</v>
      </c>
      <c r="D552" s="365">
        <f>SUM(D512:D551)</f>
        <v>44986.130000000005</v>
      </c>
      <c r="E552" s="365"/>
      <c r="F552" s="365"/>
      <c r="G552" s="365">
        <f>SUM(G512:G551)</f>
        <v>163813.89000000001</v>
      </c>
      <c r="H552" s="365"/>
      <c r="I552" s="365">
        <f ca="1">SUM(C552:I552)</f>
        <v>256091.48</v>
      </c>
    </row>
    <row r="553" spans="1:13">
      <c r="A553" s="340" t="s">
        <v>784</v>
      </c>
      <c r="B553" s="126"/>
      <c r="C553" s="126"/>
      <c r="D553" s="126"/>
      <c r="E553" s="126"/>
      <c r="F553" s="126"/>
      <c r="G553" s="126"/>
      <c r="H553" s="126"/>
      <c r="I553" s="126"/>
      <c r="J553" s="126"/>
    </row>
    <row r="554" spans="1:13">
      <c r="A554" s="101">
        <v>45870</v>
      </c>
      <c r="B554" s="126" t="s">
        <v>1381</v>
      </c>
      <c r="C554" s="126">
        <v>10203.48</v>
      </c>
      <c r="D554" s="126">
        <v>962.73</v>
      </c>
      <c r="E554" s="126"/>
      <c r="F554" s="126"/>
      <c r="G554" s="126"/>
      <c r="H554" s="126">
        <v>7</v>
      </c>
      <c r="I554" s="126"/>
      <c r="J554" s="126"/>
      <c r="K554" s="126"/>
      <c r="L554" s="126"/>
      <c r="M554" s="126"/>
    </row>
    <row r="555" spans="1:13">
      <c r="A555" s="126"/>
      <c r="B555" s="126" t="s">
        <v>1370</v>
      </c>
      <c r="C555" s="126"/>
      <c r="D555" s="126"/>
      <c r="E555" s="126"/>
      <c r="F555" s="126"/>
      <c r="G555" s="126">
        <v>1550</v>
      </c>
      <c r="H555" s="126">
        <v>10</v>
      </c>
      <c r="I555" s="126"/>
      <c r="J555" s="126"/>
      <c r="K555" s="126"/>
      <c r="L555" s="126"/>
      <c r="M555" s="126"/>
    </row>
    <row r="556" spans="1:13">
      <c r="A556" s="126"/>
      <c r="B556" s="126" t="s">
        <v>1382</v>
      </c>
      <c r="C556" s="126"/>
      <c r="D556" s="126"/>
      <c r="E556" s="126"/>
      <c r="F556" s="126"/>
      <c r="G556" s="126">
        <v>480</v>
      </c>
      <c r="H556" s="126">
        <v>10</v>
      </c>
      <c r="I556" s="126"/>
      <c r="J556" s="126"/>
      <c r="K556" s="126"/>
      <c r="L556" s="126"/>
      <c r="M556" s="126"/>
    </row>
    <row r="557" spans="1:13">
      <c r="A557" s="126"/>
      <c r="B557" s="126" t="s">
        <v>1383</v>
      </c>
      <c r="C557" s="126"/>
      <c r="D557" s="126"/>
      <c r="E557" s="126"/>
      <c r="F557" s="126"/>
      <c r="G557" s="126">
        <v>5184.72</v>
      </c>
      <c r="H557" s="126">
        <v>10</v>
      </c>
      <c r="I557" s="126"/>
      <c r="J557" s="349" t="s">
        <v>784</v>
      </c>
      <c r="K557" s="54" t="s">
        <v>661</v>
      </c>
      <c r="M557" s="126"/>
    </row>
    <row r="558" spans="1:13">
      <c r="A558" s="126"/>
      <c r="B558" s="126" t="s">
        <v>1370</v>
      </c>
      <c r="C558" s="126"/>
      <c r="D558" s="126"/>
      <c r="E558" s="126"/>
      <c r="F558" s="126"/>
      <c r="G558" s="126">
        <v>4150</v>
      </c>
      <c r="H558" s="126">
        <v>10</v>
      </c>
      <c r="I558" s="126"/>
      <c r="J558" s="53" t="s">
        <v>613</v>
      </c>
      <c r="K558" s="54">
        <f>SUM(D602)</f>
        <v>134.75</v>
      </c>
      <c r="L558" s="126">
        <f>SUM(L513,K558)</f>
        <v>5134.75</v>
      </c>
      <c r="M558" s="126"/>
    </row>
    <row r="559" spans="1:13">
      <c r="A559" s="101">
        <v>45871</v>
      </c>
      <c r="B559" s="126" t="s">
        <v>1384</v>
      </c>
      <c r="C559" s="126"/>
      <c r="D559" s="126"/>
      <c r="E559" s="126"/>
      <c r="F559" s="126"/>
      <c r="G559" s="126">
        <v>1900</v>
      </c>
      <c r="H559" s="126">
        <v>10</v>
      </c>
      <c r="I559" s="126"/>
      <c r="J559" s="55" t="s">
        <v>615</v>
      </c>
      <c r="K559" s="54"/>
      <c r="L559" s="126">
        <f>SUM(L514,K559)</f>
        <v>28384.18</v>
      </c>
      <c r="M559" s="126"/>
    </row>
    <row r="560" spans="1:13">
      <c r="A560" s="126"/>
      <c r="B560" s="126" t="s">
        <v>1385</v>
      </c>
      <c r="C560" s="126"/>
      <c r="D560" s="126"/>
      <c r="E560" s="126"/>
      <c r="F560" s="126"/>
      <c r="G560" s="126">
        <v>200</v>
      </c>
      <c r="H560" s="126">
        <v>10</v>
      </c>
      <c r="I560" s="126"/>
      <c r="J560" s="56" t="s">
        <v>617</v>
      </c>
      <c r="K560" s="54">
        <f>SUM(C704)</f>
        <v>6500</v>
      </c>
      <c r="L560" s="126">
        <f>SUM(L515,K560)</f>
        <v>52000</v>
      </c>
      <c r="M560" s="126"/>
    </row>
    <row r="561" spans="1:13">
      <c r="A561" s="126"/>
      <c r="B561" s="126" t="s">
        <v>1386</v>
      </c>
      <c r="C561" s="126"/>
      <c r="D561" s="126"/>
      <c r="E561" s="126"/>
      <c r="F561" s="126"/>
      <c r="G561" s="126">
        <v>100</v>
      </c>
      <c r="H561" s="126">
        <v>10</v>
      </c>
      <c r="I561" s="126"/>
      <c r="J561" s="57" t="s">
        <v>619</v>
      </c>
      <c r="K561" s="54"/>
      <c r="L561" s="126">
        <f t="shared" ref="L561" si="6">SUM(L537,K561)</f>
        <v>0</v>
      </c>
      <c r="M561" s="126"/>
    </row>
    <row r="562" spans="1:13">
      <c r="A562" s="126"/>
      <c r="B562" s="126" t="s">
        <v>1379</v>
      </c>
      <c r="C562" s="126"/>
      <c r="D562" s="126"/>
      <c r="E562" s="126"/>
      <c r="F562" s="126"/>
      <c r="G562" s="126">
        <v>1000</v>
      </c>
      <c r="H562" s="126">
        <v>10</v>
      </c>
      <c r="I562" s="126"/>
      <c r="J562" s="58" t="s">
        <v>621</v>
      </c>
      <c r="K562" s="54">
        <f>SUM(C564,C565)</f>
        <v>0</v>
      </c>
      <c r="L562" s="126">
        <f t="shared" ref="L562:L570" si="7">SUM(L517,K562)</f>
        <v>16700</v>
      </c>
      <c r="M562" s="126"/>
    </row>
    <row r="563" spans="1:13">
      <c r="A563" s="126"/>
      <c r="B563" s="126" t="s">
        <v>1387</v>
      </c>
      <c r="C563" s="126"/>
      <c r="D563" s="126"/>
      <c r="E563" s="126"/>
      <c r="F563" s="126"/>
      <c r="G563" s="126">
        <v>500</v>
      </c>
      <c r="H563" s="126">
        <v>10</v>
      </c>
      <c r="I563" s="126"/>
      <c r="J563" s="54" t="s">
        <v>623</v>
      </c>
      <c r="K563" s="54">
        <f>SUM(C703,D703)</f>
        <v>16500</v>
      </c>
      <c r="L563" s="126">
        <f t="shared" si="7"/>
        <v>132000</v>
      </c>
      <c r="M563" s="126"/>
    </row>
    <row r="564" spans="1:13">
      <c r="A564" s="126"/>
      <c r="B564" s="126" t="s">
        <v>1388</v>
      </c>
      <c r="C564" s="126"/>
      <c r="D564" s="126"/>
      <c r="E564" s="126"/>
      <c r="F564" s="126"/>
      <c r="G564" s="126">
        <v>418</v>
      </c>
      <c r="H564" s="126">
        <v>10</v>
      </c>
      <c r="I564" s="126"/>
      <c r="J564" s="54" t="s">
        <v>625</v>
      </c>
      <c r="K564" s="54"/>
      <c r="L564" s="126">
        <f t="shared" si="7"/>
        <v>4500</v>
      </c>
      <c r="M564" s="126"/>
    </row>
    <row r="565" spans="1:13">
      <c r="A565" s="126"/>
      <c r="B565" s="126" t="s">
        <v>1389</v>
      </c>
      <c r="C565" s="126"/>
      <c r="D565" s="126"/>
      <c r="E565" s="126"/>
      <c r="F565" s="126"/>
      <c r="G565" s="126">
        <v>400</v>
      </c>
      <c r="H565" s="126">
        <v>10</v>
      </c>
      <c r="I565" s="126"/>
      <c r="J565" s="54" t="s">
        <v>627</v>
      </c>
      <c r="K565" s="54">
        <f>SUM(C705)</f>
        <v>760</v>
      </c>
      <c r="L565" s="126">
        <f t="shared" si="7"/>
        <v>5890</v>
      </c>
      <c r="M565" s="126"/>
    </row>
    <row r="566" spans="1:13">
      <c r="A566" s="126"/>
      <c r="B566" s="126" t="s">
        <v>1390</v>
      </c>
      <c r="C566" s="126"/>
      <c r="D566" s="126">
        <v>2400</v>
      </c>
      <c r="E566" s="126"/>
      <c r="F566" s="126"/>
      <c r="G566" s="126"/>
      <c r="H566" s="126">
        <v>8</v>
      </c>
      <c r="I566" s="126"/>
      <c r="J566" s="54" t="s">
        <v>629</v>
      </c>
      <c r="K566" s="54"/>
      <c r="L566" s="126">
        <f t="shared" si="7"/>
        <v>20000</v>
      </c>
      <c r="M566" s="126"/>
    </row>
    <row r="567" spans="1:13">
      <c r="A567" s="126"/>
      <c r="B567" s="126" t="s">
        <v>1391</v>
      </c>
      <c r="C567" s="126"/>
      <c r="D567" s="126"/>
      <c r="E567" s="126"/>
      <c r="F567" s="126"/>
      <c r="G567" s="126">
        <v>700</v>
      </c>
      <c r="H567" s="126">
        <v>10</v>
      </c>
      <c r="I567" s="126"/>
      <c r="J567" s="54" t="s">
        <v>631</v>
      </c>
      <c r="K567" s="54">
        <f>SUM(C554,D554,C589,C670)</f>
        <v>13880.21</v>
      </c>
      <c r="L567" s="126">
        <f t="shared" si="7"/>
        <v>99963.24000000002</v>
      </c>
      <c r="M567" s="126"/>
    </row>
    <row r="568" spans="1:13">
      <c r="A568" s="126"/>
      <c r="B568" s="126" t="s">
        <v>1392</v>
      </c>
      <c r="C568" s="126"/>
      <c r="D568" s="126"/>
      <c r="E568" s="126"/>
      <c r="F568" s="126"/>
      <c r="G568" s="126">
        <v>4511.05</v>
      </c>
      <c r="H568" s="126">
        <v>10</v>
      </c>
      <c r="I568" s="126"/>
      <c r="J568" s="54" t="s">
        <v>634</v>
      </c>
      <c r="K568" s="54">
        <f>SUM(D566,C598,C593,C594,C603,D604,C613,C614,C615,C616,C626,D629:D632,D633,D636,D637,D638,D640,D641,D646,D647,D648,D650:D654,D658:D663,D669,D673,D672,G678,D679:D681,D683,D685:D690,D694:D696,C702,D635,D655,D675)</f>
        <v>317063.82</v>
      </c>
      <c r="L568" s="126">
        <f t="shared" si="7"/>
        <v>445755.37</v>
      </c>
      <c r="M568" s="126"/>
    </row>
    <row r="569" spans="1:13">
      <c r="A569" s="101">
        <v>45872</v>
      </c>
      <c r="B569" s="126" t="s">
        <v>1370</v>
      </c>
      <c r="C569" s="126"/>
      <c r="D569" s="126"/>
      <c r="E569" s="126"/>
      <c r="F569" s="126"/>
      <c r="G569" s="126">
        <v>6300</v>
      </c>
      <c r="H569" s="126">
        <v>10</v>
      </c>
      <c r="I569" s="126"/>
      <c r="J569" s="54" t="s">
        <v>636</v>
      </c>
      <c r="K569" s="63">
        <f>SUM(G576,G597,D677,G587,G612,D644)</f>
        <v>5794</v>
      </c>
      <c r="L569" s="126">
        <f t="shared" si="7"/>
        <v>16895.75</v>
      </c>
      <c r="M569" s="126"/>
    </row>
    <row r="570" spans="1:13">
      <c r="A570" s="126"/>
      <c r="B570" s="126" t="s">
        <v>1393</v>
      </c>
      <c r="C570" s="126"/>
      <c r="D570" s="126"/>
      <c r="E570" s="126"/>
      <c r="F570" s="126"/>
      <c r="G570" s="126">
        <v>2500</v>
      </c>
      <c r="H570" s="126">
        <v>10</v>
      </c>
      <c r="I570" s="126"/>
      <c r="J570" s="54" t="s">
        <v>638</v>
      </c>
      <c r="K570" s="54">
        <f>SUM(G555,G556:G565,G567:G575,G577:G586,G588,G590:G592,G595:G596,G599,D600,C601,G605,G606,G607,G608,G609,G610,G611,G617:G625,D627,G628,G634,G639,G642:G643,G645,G649,G656,G665:G668,G671,G674,G676,D691:D693,D697,G698:G700,D701)</f>
        <v>161491.85999999999</v>
      </c>
      <c r="L570" s="126">
        <f t="shared" si="7"/>
        <v>965444.83</v>
      </c>
      <c r="M570" s="126"/>
    </row>
    <row r="571" spans="1:13" ht="15.75" thickBot="1">
      <c r="A571" s="126"/>
      <c r="B571" s="126" t="s">
        <v>1394</v>
      </c>
      <c r="C571" s="126"/>
      <c r="D571" s="126"/>
      <c r="E571" s="126"/>
      <c r="F571" s="126"/>
      <c r="G571" s="126">
        <v>700</v>
      </c>
      <c r="H571" s="126">
        <v>10</v>
      </c>
      <c r="I571" s="126"/>
      <c r="J571" s="172" t="s">
        <v>784</v>
      </c>
      <c r="K571" s="361">
        <f>SUM(K558:K570)</f>
        <v>522124.64</v>
      </c>
      <c r="L571" s="358">
        <f>SUM(L558:L570)</f>
        <v>1792668.12</v>
      </c>
      <c r="M571" s="126"/>
    </row>
    <row r="572" spans="1:13" ht="15.75" thickTop="1">
      <c r="A572" s="126"/>
      <c r="B572" s="126" t="s">
        <v>1392</v>
      </c>
      <c r="C572" s="126"/>
      <c r="D572" s="126"/>
      <c r="E572" s="126"/>
      <c r="F572" s="126"/>
      <c r="G572" s="126">
        <v>705</v>
      </c>
      <c r="H572" s="126">
        <v>10</v>
      </c>
      <c r="I572" s="126"/>
      <c r="J572" s="343"/>
      <c r="K572" s="362"/>
      <c r="L572" s="358">
        <f>SUM(L526,K571)</f>
        <v>1792668.12</v>
      </c>
      <c r="M572" s="126"/>
    </row>
    <row r="573" spans="1:13">
      <c r="A573" s="126"/>
      <c r="B573" s="126" t="s">
        <v>1392</v>
      </c>
      <c r="C573" s="126"/>
      <c r="D573" s="126"/>
      <c r="E573" s="126"/>
      <c r="F573" s="126"/>
      <c r="G573" s="126">
        <v>1770.25</v>
      </c>
      <c r="H573" s="126">
        <v>10</v>
      </c>
      <c r="I573" s="126"/>
      <c r="J573" s="126"/>
      <c r="K573" s="126"/>
      <c r="L573" s="126"/>
      <c r="M573" s="126"/>
    </row>
    <row r="574" spans="1:13">
      <c r="A574" s="126"/>
      <c r="B574" s="126" t="s">
        <v>1392</v>
      </c>
      <c r="C574" s="126"/>
      <c r="D574" s="126"/>
      <c r="E574" s="126"/>
      <c r="F574" s="126"/>
      <c r="G574" s="126">
        <v>2047</v>
      </c>
      <c r="H574" s="126">
        <v>10</v>
      </c>
      <c r="I574" s="126"/>
      <c r="J574" s="126"/>
      <c r="K574" s="126"/>
      <c r="L574" s="126"/>
      <c r="M574" s="126"/>
    </row>
    <row r="575" spans="1:13">
      <c r="A575" s="126"/>
      <c r="B575" s="126" t="s">
        <v>1395</v>
      </c>
      <c r="C575" s="126"/>
      <c r="D575" s="126"/>
      <c r="E575" s="126"/>
      <c r="F575" s="126"/>
      <c r="G575" s="126">
        <v>1000</v>
      </c>
      <c r="H575" s="126">
        <v>10</v>
      </c>
      <c r="I575" s="126"/>
      <c r="J575" s="126"/>
      <c r="K575" s="126"/>
      <c r="L575" s="126"/>
      <c r="M575" s="126"/>
    </row>
    <row r="576" spans="1:13">
      <c r="A576" s="126"/>
      <c r="B576" s="126" t="s">
        <v>1396</v>
      </c>
      <c r="C576" s="126"/>
      <c r="D576" s="126"/>
      <c r="E576" s="126"/>
      <c r="F576" s="126"/>
      <c r="G576" s="126">
        <v>794</v>
      </c>
      <c r="H576" s="126">
        <v>9</v>
      </c>
      <c r="I576" s="126"/>
      <c r="J576" s="126"/>
      <c r="K576" s="126"/>
      <c r="L576" s="126"/>
      <c r="M576" s="126"/>
    </row>
    <row r="577" spans="1:13">
      <c r="A577" s="126"/>
      <c r="B577" s="126" t="s">
        <v>1397</v>
      </c>
      <c r="C577" s="126"/>
      <c r="D577" s="126"/>
      <c r="E577" s="126"/>
      <c r="F577" s="126"/>
      <c r="G577" s="126">
        <v>820.29</v>
      </c>
      <c r="H577" s="126">
        <v>10</v>
      </c>
      <c r="I577" s="126"/>
      <c r="J577" s="126"/>
      <c r="K577" s="126"/>
      <c r="L577" s="126"/>
      <c r="M577" s="126"/>
    </row>
    <row r="578" spans="1:13">
      <c r="A578" s="126"/>
      <c r="B578" s="126" t="s">
        <v>1398</v>
      </c>
      <c r="C578" s="126"/>
      <c r="D578" s="126"/>
      <c r="E578" s="126"/>
      <c r="F578" s="126"/>
      <c r="G578" s="126">
        <v>878</v>
      </c>
      <c r="H578" s="126">
        <v>10</v>
      </c>
      <c r="I578" s="126"/>
      <c r="J578" s="126"/>
      <c r="K578" s="126"/>
      <c r="L578" s="126"/>
      <c r="M578" s="126"/>
    </row>
    <row r="579" spans="1:13">
      <c r="A579" s="101">
        <v>45873</v>
      </c>
      <c r="B579" s="126" t="s">
        <v>1399</v>
      </c>
      <c r="C579" s="126"/>
      <c r="D579" s="126"/>
      <c r="E579" s="126"/>
      <c r="F579" s="126"/>
      <c r="G579" s="126">
        <v>700</v>
      </c>
      <c r="H579" s="126">
        <v>10</v>
      </c>
      <c r="I579" s="126"/>
      <c r="J579" s="126"/>
      <c r="K579" s="126"/>
      <c r="L579" s="126"/>
      <c r="M579" s="126"/>
    </row>
    <row r="580" spans="1:13">
      <c r="A580" s="126"/>
      <c r="B580" s="126" t="s">
        <v>1400</v>
      </c>
      <c r="C580" s="126"/>
      <c r="D580" s="126"/>
      <c r="E580" s="126"/>
      <c r="F580" s="126"/>
      <c r="G580" s="126">
        <v>1500</v>
      </c>
      <c r="H580" s="126">
        <v>10</v>
      </c>
      <c r="I580" s="126"/>
      <c r="J580" s="126"/>
      <c r="K580" s="126"/>
      <c r="L580" s="126"/>
      <c r="M580" s="126"/>
    </row>
    <row r="581" spans="1:13">
      <c r="A581" s="126"/>
      <c r="B581" s="126" t="s">
        <v>1401</v>
      </c>
      <c r="C581" s="126"/>
      <c r="D581" s="126"/>
      <c r="E581" s="126"/>
      <c r="F581" s="126"/>
      <c r="G581" s="126">
        <v>1500</v>
      </c>
      <c r="H581" s="126">
        <v>10</v>
      </c>
      <c r="I581" s="126"/>
      <c r="J581" s="126"/>
      <c r="K581" s="126"/>
      <c r="L581" s="126"/>
      <c r="M581" s="126"/>
    </row>
    <row r="582" spans="1:13">
      <c r="A582" s="126"/>
      <c r="B582" s="126" t="s">
        <v>1402</v>
      </c>
      <c r="C582" s="126"/>
      <c r="D582" s="126"/>
      <c r="E582" s="126"/>
      <c r="F582" s="126"/>
      <c r="G582" s="126">
        <v>2000</v>
      </c>
      <c r="H582" s="126">
        <v>10</v>
      </c>
      <c r="I582" s="126"/>
      <c r="J582" s="126"/>
      <c r="K582" s="126"/>
      <c r="L582" s="126"/>
      <c r="M582" s="126"/>
    </row>
    <row r="583" spans="1:13">
      <c r="A583" s="126"/>
      <c r="B583" s="126" t="s">
        <v>1403</v>
      </c>
      <c r="C583" s="126"/>
      <c r="D583" s="126"/>
      <c r="E583" s="126"/>
      <c r="F583" s="126"/>
      <c r="G583" s="126">
        <v>1500</v>
      </c>
      <c r="H583" s="126">
        <v>10</v>
      </c>
      <c r="I583" s="126"/>
      <c r="J583" s="126"/>
      <c r="K583" s="126"/>
      <c r="L583" s="126"/>
      <c r="M583" s="126"/>
    </row>
    <row r="584" spans="1:13">
      <c r="A584" s="126"/>
      <c r="B584" s="126" t="s">
        <v>1404</v>
      </c>
      <c r="C584" s="126"/>
      <c r="D584" s="126"/>
      <c r="E584" s="126"/>
      <c r="F584" s="126"/>
      <c r="G584" s="126">
        <v>3000</v>
      </c>
      <c r="H584" s="126">
        <v>10</v>
      </c>
      <c r="I584" s="126"/>
      <c r="J584" s="126"/>
      <c r="K584" s="126"/>
      <c r="L584" s="126"/>
      <c r="M584" s="126"/>
    </row>
    <row r="585" spans="1:13">
      <c r="A585" s="126"/>
      <c r="B585" s="126" t="s">
        <v>1405</v>
      </c>
      <c r="C585" s="126"/>
      <c r="D585" s="126"/>
      <c r="E585" s="126"/>
      <c r="F585" s="126"/>
      <c r="G585" s="126">
        <v>1500</v>
      </c>
      <c r="H585" s="126">
        <v>10</v>
      </c>
      <c r="I585" s="126"/>
      <c r="J585" s="126"/>
      <c r="K585" s="126"/>
      <c r="L585" s="126"/>
      <c r="M585" s="126"/>
    </row>
    <row r="586" spans="1:13">
      <c r="A586" s="126"/>
      <c r="B586" s="126" t="s">
        <v>1392</v>
      </c>
      <c r="C586" s="126"/>
      <c r="D586" s="126"/>
      <c r="E586" s="126"/>
      <c r="F586" s="126"/>
      <c r="G586" s="126">
        <v>705</v>
      </c>
      <c r="H586" s="126">
        <v>10</v>
      </c>
      <c r="I586" s="126"/>
      <c r="J586" s="126"/>
      <c r="K586" s="126"/>
      <c r="L586" s="126"/>
      <c r="M586" s="126"/>
    </row>
    <row r="587" spans="1:13">
      <c r="A587" s="101">
        <v>45874</v>
      </c>
      <c r="B587" s="126" t="s">
        <v>1361</v>
      </c>
      <c r="C587" s="126"/>
      <c r="D587" s="126"/>
      <c r="E587" s="126"/>
      <c r="F587" s="126"/>
      <c r="G587" s="126">
        <v>1000</v>
      </c>
      <c r="H587" s="126">
        <v>9</v>
      </c>
      <c r="I587" s="126"/>
      <c r="J587" s="126"/>
      <c r="K587" s="126"/>
      <c r="L587" s="126"/>
      <c r="M587" s="126"/>
    </row>
    <row r="588" spans="1:13">
      <c r="A588" s="126"/>
      <c r="B588" s="126" t="s">
        <v>1406</v>
      </c>
      <c r="C588" s="126"/>
      <c r="D588" s="126"/>
      <c r="E588" s="126"/>
      <c r="F588" s="126"/>
      <c r="G588" s="126">
        <v>1266.3499999999999</v>
      </c>
      <c r="H588" s="126">
        <v>10</v>
      </c>
      <c r="I588" s="126"/>
      <c r="J588" s="126"/>
      <c r="K588" s="126"/>
      <c r="L588" s="126"/>
      <c r="M588" s="126"/>
    </row>
    <row r="589" spans="1:13">
      <c r="A589" s="126"/>
      <c r="B589" s="126" t="s">
        <v>1407</v>
      </c>
      <c r="C589" s="126">
        <v>714</v>
      </c>
      <c r="D589" s="126"/>
      <c r="E589" s="126"/>
      <c r="F589" s="126"/>
      <c r="G589" s="126"/>
      <c r="H589" s="126">
        <v>7</v>
      </c>
      <c r="I589" s="126"/>
      <c r="J589" s="126"/>
      <c r="K589" s="126"/>
      <c r="L589" s="126"/>
      <c r="M589" s="126"/>
    </row>
    <row r="590" spans="1:13">
      <c r="A590" s="101">
        <v>45875</v>
      </c>
      <c r="B590" s="126" t="s">
        <v>1408</v>
      </c>
      <c r="C590" s="126"/>
      <c r="D590" s="126"/>
      <c r="E590" s="126"/>
      <c r="F590" s="126"/>
      <c r="G590" s="126">
        <v>4946</v>
      </c>
      <c r="H590" s="126">
        <v>10</v>
      </c>
      <c r="I590" s="126"/>
      <c r="J590" s="126"/>
      <c r="K590" s="126"/>
      <c r="L590" s="126"/>
      <c r="M590" s="126"/>
    </row>
    <row r="591" spans="1:13">
      <c r="A591" s="101">
        <v>45876</v>
      </c>
      <c r="B591" s="126" t="s">
        <v>1409</v>
      </c>
      <c r="C591" s="126"/>
      <c r="D591" s="126"/>
      <c r="E591" s="126"/>
      <c r="F591" s="126"/>
      <c r="G591" s="126">
        <v>550</v>
      </c>
      <c r="H591" s="126">
        <v>10</v>
      </c>
      <c r="I591" s="126"/>
      <c r="J591" s="126"/>
      <c r="K591" s="126"/>
      <c r="L591" s="126"/>
      <c r="M591" s="126"/>
    </row>
    <row r="592" spans="1:13">
      <c r="A592" s="126"/>
      <c r="B592" s="126" t="s">
        <v>1410</v>
      </c>
      <c r="C592" s="126"/>
      <c r="D592" s="126"/>
      <c r="E592" s="126"/>
      <c r="F592" s="126"/>
      <c r="G592" s="126">
        <v>1000</v>
      </c>
      <c r="H592" s="126">
        <v>10</v>
      </c>
      <c r="I592" s="126"/>
      <c r="J592" s="126"/>
      <c r="K592" s="126"/>
      <c r="L592" s="126"/>
      <c r="M592" s="126"/>
    </row>
    <row r="593" spans="1:13">
      <c r="A593" s="126"/>
      <c r="B593" s="126" t="s">
        <v>1411</v>
      </c>
      <c r="C593" s="126">
        <v>800</v>
      </c>
      <c r="D593" s="126"/>
      <c r="E593" s="126"/>
      <c r="F593" s="126"/>
      <c r="G593" s="126"/>
      <c r="H593" s="126">
        <v>8</v>
      </c>
      <c r="I593" s="126"/>
      <c r="J593" s="126"/>
      <c r="K593" s="126"/>
      <c r="L593" s="126"/>
      <c r="M593" s="126"/>
    </row>
    <row r="594" spans="1:13">
      <c r="A594" s="126"/>
      <c r="B594" s="126" t="s">
        <v>1411</v>
      </c>
      <c r="C594" s="126">
        <v>1140</v>
      </c>
      <c r="D594" s="126"/>
      <c r="E594" s="126"/>
      <c r="F594" s="126"/>
      <c r="G594" s="126"/>
      <c r="H594" s="126">
        <v>8</v>
      </c>
      <c r="I594" s="126"/>
      <c r="J594" s="126"/>
      <c r="K594" s="126"/>
      <c r="L594" s="126"/>
      <c r="M594" s="126"/>
    </row>
    <row r="595" spans="1:13">
      <c r="A595" s="101">
        <v>45878</v>
      </c>
      <c r="B595" s="126" t="s">
        <v>1412</v>
      </c>
      <c r="C595" s="126"/>
      <c r="D595" s="126"/>
      <c r="E595" s="126"/>
      <c r="F595" s="126"/>
      <c r="G595" s="126">
        <v>288</v>
      </c>
      <c r="H595" s="126">
        <v>10</v>
      </c>
      <c r="I595" s="126"/>
      <c r="J595" s="126"/>
      <c r="K595" s="126"/>
      <c r="L595" s="126"/>
      <c r="M595" s="126"/>
    </row>
    <row r="596" spans="1:13">
      <c r="A596" s="126"/>
      <c r="B596" s="126" t="s">
        <v>1369</v>
      </c>
      <c r="C596" s="126"/>
      <c r="D596" s="126"/>
      <c r="E596" s="126"/>
      <c r="F596" s="126"/>
      <c r="G596" s="126">
        <v>300</v>
      </c>
      <c r="H596" s="126">
        <v>10</v>
      </c>
      <c r="I596" s="126"/>
      <c r="J596" s="126"/>
      <c r="K596" s="126"/>
      <c r="L596" s="126"/>
      <c r="M596" s="126"/>
    </row>
    <row r="597" spans="1:13">
      <c r="A597" s="126"/>
      <c r="B597" s="126" t="s">
        <v>1413</v>
      </c>
      <c r="C597" s="126"/>
      <c r="D597" s="126"/>
      <c r="E597" s="126"/>
      <c r="F597" s="126"/>
      <c r="G597" s="126">
        <v>1000</v>
      </c>
      <c r="H597" s="126">
        <v>9</v>
      </c>
      <c r="I597" s="126"/>
      <c r="J597" s="126"/>
      <c r="K597" s="126"/>
      <c r="L597" s="126"/>
      <c r="M597" s="126"/>
    </row>
    <row r="598" spans="1:13">
      <c r="A598" s="126"/>
      <c r="B598" s="126" t="s">
        <v>1414</v>
      </c>
      <c r="C598" s="126">
        <v>700</v>
      </c>
      <c r="D598" s="126"/>
      <c r="E598" s="126"/>
      <c r="F598" s="126"/>
      <c r="G598" s="126"/>
      <c r="H598" s="126">
        <v>8</v>
      </c>
      <c r="I598" s="126"/>
      <c r="J598" s="126"/>
      <c r="K598" s="126"/>
      <c r="L598" s="126"/>
      <c r="M598" s="126"/>
    </row>
    <row r="599" spans="1:13">
      <c r="A599" s="101">
        <v>45879</v>
      </c>
      <c r="B599" s="126" t="s">
        <v>1415</v>
      </c>
      <c r="C599" s="126"/>
      <c r="D599" s="126"/>
      <c r="E599" s="126"/>
      <c r="F599" s="126"/>
      <c r="G599" s="126">
        <v>411</v>
      </c>
      <c r="H599" s="126">
        <v>10</v>
      </c>
      <c r="I599" s="126"/>
      <c r="J599" s="126"/>
      <c r="K599" s="126"/>
      <c r="L599" s="126"/>
      <c r="M599" s="126"/>
    </row>
    <row r="600" spans="1:13">
      <c r="A600" s="126"/>
      <c r="B600" s="126" t="s">
        <v>1416</v>
      </c>
      <c r="C600" s="126"/>
      <c r="D600" s="126">
        <v>1499</v>
      </c>
      <c r="E600" s="126"/>
      <c r="F600" s="126"/>
      <c r="G600" s="126"/>
      <c r="H600" s="126">
        <v>10</v>
      </c>
      <c r="I600" s="126"/>
      <c r="J600" s="126"/>
      <c r="K600" s="126"/>
      <c r="L600" s="126"/>
      <c r="M600" s="126"/>
    </row>
    <row r="601" spans="1:13">
      <c r="A601" s="126"/>
      <c r="B601" s="126" t="s">
        <v>1417</v>
      </c>
      <c r="C601" s="126">
        <v>12000</v>
      </c>
      <c r="D601" s="126"/>
      <c r="E601" s="126"/>
      <c r="F601" s="126"/>
      <c r="G601" s="126"/>
      <c r="H601" s="126">
        <v>10</v>
      </c>
      <c r="I601" s="126"/>
      <c r="J601" s="126"/>
      <c r="K601" s="126"/>
      <c r="L601" s="126"/>
      <c r="M601" s="126"/>
    </row>
    <row r="602" spans="1:13">
      <c r="A602" s="126"/>
      <c r="B602" s="126" t="s">
        <v>1418</v>
      </c>
      <c r="C602" s="126"/>
      <c r="D602" s="126">
        <v>134.75</v>
      </c>
      <c r="E602" s="126"/>
      <c r="F602" s="126"/>
      <c r="G602" s="126"/>
      <c r="H602" s="126">
        <v>1</v>
      </c>
      <c r="I602" s="126"/>
      <c r="J602" s="126"/>
      <c r="K602" s="126"/>
      <c r="L602" s="126"/>
      <c r="M602" s="126"/>
    </row>
    <row r="603" spans="1:13">
      <c r="A603" s="101">
        <v>45880</v>
      </c>
      <c r="B603" s="342" t="s">
        <v>1419</v>
      </c>
      <c r="C603" s="126">
        <v>5211</v>
      </c>
      <c r="D603" s="352"/>
      <c r="E603" s="352"/>
      <c r="F603" s="352"/>
      <c r="G603" s="352"/>
      <c r="H603" s="126">
        <v>8</v>
      </c>
      <c r="I603" s="352"/>
      <c r="J603" s="352"/>
      <c r="K603" s="352"/>
    </row>
    <row r="604" spans="1:13">
      <c r="B604" s="342" t="s">
        <v>1420</v>
      </c>
      <c r="C604" s="126"/>
      <c r="D604" s="126">
        <v>68917.5</v>
      </c>
      <c r="E604" s="126"/>
      <c r="F604" s="126"/>
      <c r="G604" s="126"/>
      <c r="H604" s="126">
        <v>8</v>
      </c>
      <c r="I604" s="126"/>
      <c r="J604" s="126"/>
      <c r="K604" s="126"/>
    </row>
    <row r="605" spans="1:13">
      <c r="B605" s="342" t="s">
        <v>1421</v>
      </c>
      <c r="C605" s="126"/>
      <c r="D605" s="126"/>
      <c r="E605" s="126"/>
      <c r="F605" s="126"/>
      <c r="G605" s="126">
        <v>15000</v>
      </c>
      <c r="H605" s="126">
        <v>10</v>
      </c>
      <c r="I605" s="126"/>
      <c r="J605" s="126"/>
      <c r="K605" s="126"/>
    </row>
    <row r="606" spans="1:13">
      <c r="B606" s="342" t="s">
        <v>1422</v>
      </c>
      <c r="C606" s="126"/>
      <c r="D606" s="126"/>
      <c r="E606" s="126"/>
      <c r="F606" s="126"/>
      <c r="G606" s="126">
        <v>7000</v>
      </c>
      <c r="H606" s="126">
        <v>10</v>
      </c>
      <c r="I606" s="126"/>
      <c r="J606" s="126"/>
      <c r="K606" s="126"/>
    </row>
    <row r="607" spans="1:13">
      <c r="A607" s="101">
        <v>45881</v>
      </c>
      <c r="B607" s="342" t="s">
        <v>1423</v>
      </c>
      <c r="C607" s="126"/>
      <c r="D607" s="126"/>
      <c r="E607" s="126"/>
      <c r="F607" s="126"/>
      <c r="G607" s="126">
        <v>4110</v>
      </c>
      <c r="H607" s="126">
        <v>10</v>
      </c>
      <c r="I607" s="126"/>
      <c r="J607" s="126"/>
      <c r="K607" s="126"/>
    </row>
    <row r="608" spans="1:13">
      <c r="B608" s="342" t="s">
        <v>1424</v>
      </c>
      <c r="C608" s="126"/>
      <c r="D608" s="126"/>
      <c r="E608" s="126"/>
      <c r="F608" s="126"/>
      <c r="G608" s="126">
        <v>3969</v>
      </c>
      <c r="H608" s="126">
        <v>10</v>
      </c>
      <c r="I608" s="126"/>
      <c r="J608" s="126"/>
      <c r="K608" s="126"/>
    </row>
    <row r="609" spans="1:11">
      <c r="B609" s="342" t="s">
        <v>1425</v>
      </c>
      <c r="C609" s="126"/>
      <c r="D609" s="126"/>
      <c r="E609" s="126"/>
      <c r="F609" s="126"/>
      <c r="G609" s="126">
        <v>1500</v>
      </c>
      <c r="H609" s="126">
        <v>10</v>
      </c>
      <c r="I609" s="126"/>
      <c r="J609" s="126"/>
      <c r="K609" s="126"/>
    </row>
    <row r="610" spans="1:11">
      <c r="A610" s="101">
        <v>45882</v>
      </c>
      <c r="B610" s="342" t="s">
        <v>1378</v>
      </c>
      <c r="C610" s="126"/>
      <c r="D610" s="126"/>
      <c r="E610" s="126"/>
      <c r="F610" s="126"/>
      <c r="G610" s="126">
        <v>3500</v>
      </c>
      <c r="H610" s="126">
        <v>10</v>
      </c>
      <c r="I610" s="126"/>
      <c r="J610" s="126"/>
      <c r="K610" s="126"/>
    </row>
    <row r="611" spans="1:11">
      <c r="B611" s="342" t="s">
        <v>1426</v>
      </c>
      <c r="C611" s="126"/>
      <c r="D611" s="126"/>
      <c r="E611" s="126"/>
      <c r="F611" s="126"/>
      <c r="G611" s="126">
        <v>2982.24</v>
      </c>
      <c r="H611" s="126">
        <v>10</v>
      </c>
      <c r="I611" s="126"/>
      <c r="J611" s="126"/>
      <c r="K611" s="126"/>
    </row>
    <row r="612" spans="1:11">
      <c r="B612" s="342" t="s">
        <v>1361</v>
      </c>
      <c r="C612" s="126"/>
      <c r="D612" s="126"/>
      <c r="E612" s="126"/>
      <c r="F612" s="126"/>
      <c r="G612" s="126">
        <v>1000</v>
      </c>
      <c r="H612" s="126">
        <v>9</v>
      </c>
      <c r="I612" s="126"/>
      <c r="J612" s="126"/>
      <c r="K612" s="126"/>
    </row>
    <row r="613" spans="1:11">
      <c r="B613" s="342" t="s">
        <v>1427</v>
      </c>
      <c r="C613" s="126">
        <v>4230</v>
      </c>
      <c r="D613" s="126"/>
      <c r="E613" s="126"/>
      <c r="F613" s="126"/>
      <c r="G613" s="126"/>
      <c r="H613" s="126">
        <v>8</v>
      </c>
      <c r="I613" s="126"/>
      <c r="J613" s="126"/>
      <c r="K613" s="126"/>
    </row>
    <row r="614" spans="1:11">
      <c r="B614" s="342" t="s">
        <v>1428</v>
      </c>
      <c r="C614" s="126">
        <v>570</v>
      </c>
      <c r="D614" s="126"/>
      <c r="E614" s="126"/>
      <c r="F614" s="126"/>
      <c r="G614" s="126"/>
      <c r="H614" s="126">
        <v>8</v>
      </c>
      <c r="I614" s="126"/>
      <c r="J614" s="126"/>
      <c r="K614" s="126"/>
    </row>
    <row r="615" spans="1:11">
      <c r="B615" s="342" t="s">
        <v>1429</v>
      </c>
      <c r="C615" s="126">
        <v>14800</v>
      </c>
      <c r="D615" s="126"/>
      <c r="E615" s="126"/>
      <c r="F615" s="126"/>
      <c r="G615" s="126"/>
      <c r="H615" s="126">
        <v>8</v>
      </c>
      <c r="I615" s="126"/>
      <c r="J615" s="126"/>
      <c r="K615" s="126"/>
    </row>
    <row r="616" spans="1:11">
      <c r="B616" s="342" t="s">
        <v>1430</v>
      </c>
      <c r="C616" s="126">
        <v>4000</v>
      </c>
      <c r="D616" s="126"/>
      <c r="E616" s="126"/>
      <c r="F616" s="126"/>
      <c r="G616" s="126"/>
      <c r="H616" s="126">
        <v>8</v>
      </c>
      <c r="I616" s="126"/>
      <c r="J616" s="126"/>
      <c r="K616" s="126"/>
    </row>
    <row r="617" spans="1:11">
      <c r="A617" s="101">
        <v>45883</v>
      </c>
      <c r="B617" s="342" t="s">
        <v>1369</v>
      </c>
      <c r="C617" s="126"/>
      <c r="D617" s="126"/>
      <c r="E617" s="126"/>
      <c r="F617" s="126"/>
      <c r="G617" s="126">
        <v>300</v>
      </c>
      <c r="H617" s="126">
        <v>10</v>
      </c>
      <c r="I617" s="126"/>
      <c r="J617" s="126"/>
      <c r="K617" s="126"/>
    </row>
    <row r="618" spans="1:11">
      <c r="B618" s="342" t="s">
        <v>1400</v>
      </c>
      <c r="C618" s="126"/>
      <c r="D618" s="126"/>
      <c r="E618" s="126"/>
      <c r="F618" s="126"/>
      <c r="G618" s="126">
        <v>1000</v>
      </c>
      <c r="H618" s="126">
        <v>10</v>
      </c>
      <c r="I618" s="126"/>
      <c r="J618" s="126"/>
      <c r="K618" s="126"/>
    </row>
    <row r="619" spans="1:11">
      <c r="B619" s="342" t="s">
        <v>1403</v>
      </c>
      <c r="C619" s="126"/>
      <c r="D619" s="126"/>
      <c r="E619" s="126"/>
      <c r="F619" s="126"/>
      <c r="G619" s="126">
        <v>1000</v>
      </c>
      <c r="H619" s="126">
        <v>10</v>
      </c>
      <c r="I619" s="126"/>
      <c r="J619" s="126"/>
      <c r="K619" s="126"/>
    </row>
    <row r="620" spans="1:11">
      <c r="B620" s="342" t="s">
        <v>1431</v>
      </c>
      <c r="C620" s="126"/>
      <c r="D620" s="126"/>
      <c r="E620" s="126"/>
      <c r="F620" s="126"/>
      <c r="G620" s="126">
        <v>300</v>
      </c>
      <c r="H620" s="126">
        <v>10</v>
      </c>
      <c r="I620" s="126"/>
      <c r="J620" s="126"/>
      <c r="K620" s="126"/>
    </row>
    <row r="621" spans="1:11">
      <c r="B621" s="342" t="s">
        <v>1401</v>
      </c>
      <c r="C621" s="126"/>
      <c r="D621" s="126"/>
      <c r="E621" s="126"/>
      <c r="F621" s="126"/>
      <c r="G621" s="126">
        <v>1000</v>
      </c>
      <c r="H621" s="126">
        <v>10</v>
      </c>
      <c r="I621" s="126"/>
      <c r="J621" s="126"/>
      <c r="K621" s="126"/>
    </row>
    <row r="622" spans="1:11">
      <c r="B622" s="342" t="s">
        <v>1426</v>
      </c>
      <c r="C622" s="126"/>
      <c r="D622" s="126"/>
      <c r="E622" s="126"/>
      <c r="F622" s="126"/>
      <c r="G622" s="126">
        <v>128.75</v>
      </c>
      <c r="H622" s="126">
        <v>10</v>
      </c>
      <c r="I622" s="126"/>
      <c r="J622" s="126"/>
      <c r="K622" s="126"/>
    </row>
    <row r="623" spans="1:11">
      <c r="B623" s="342" t="s">
        <v>1426</v>
      </c>
      <c r="C623" s="126"/>
      <c r="D623" s="126"/>
      <c r="E623" s="126"/>
      <c r="F623" s="126"/>
      <c r="G623" s="126">
        <v>1101.25</v>
      </c>
      <c r="H623" s="126">
        <v>10</v>
      </c>
      <c r="I623" s="126"/>
      <c r="J623" s="126"/>
      <c r="K623" s="126"/>
    </row>
    <row r="624" spans="1:11">
      <c r="B624" s="342" t="s">
        <v>1426</v>
      </c>
      <c r="C624" s="126"/>
      <c r="D624" s="126"/>
      <c r="E624" s="126"/>
      <c r="F624" s="126"/>
      <c r="G624" s="126">
        <v>350.2</v>
      </c>
      <c r="H624" s="126">
        <v>10</v>
      </c>
      <c r="I624" s="126"/>
      <c r="J624" s="126"/>
      <c r="K624" s="126"/>
    </row>
    <row r="625" spans="1:11">
      <c r="A625" s="101">
        <v>45884</v>
      </c>
      <c r="B625" s="342" t="s">
        <v>1432</v>
      </c>
      <c r="C625" s="126"/>
      <c r="D625" s="126"/>
      <c r="E625" s="126"/>
      <c r="F625" s="126"/>
      <c r="G625" s="126">
        <v>8000</v>
      </c>
      <c r="H625" s="126">
        <v>10</v>
      </c>
      <c r="I625" s="126"/>
      <c r="J625" s="126"/>
      <c r="K625" s="126"/>
    </row>
    <row r="626" spans="1:11">
      <c r="A626" s="101">
        <v>45885</v>
      </c>
      <c r="B626" s="342" t="s">
        <v>1433</v>
      </c>
      <c r="C626" s="126">
        <v>4200</v>
      </c>
      <c r="D626" s="126"/>
      <c r="E626" s="126"/>
      <c r="F626" s="126"/>
      <c r="G626" s="126"/>
      <c r="H626" s="126">
        <v>8</v>
      </c>
      <c r="I626" s="126"/>
      <c r="J626" s="126"/>
      <c r="K626" s="126"/>
    </row>
    <row r="627" spans="1:11">
      <c r="A627" s="101">
        <v>45886</v>
      </c>
      <c r="B627" s="342" t="s">
        <v>1434</v>
      </c>
      <c r="C627" s="126"/>
      <c r="D627" s="126">
        <v>1550</v>
      </c>
      <c r="E627" s="126"/>
      <c r="F627" s="126"/>
      <c r="G627" s="126"/>
      <c r="H627" s="126">
        <v>10</v>
      </c>
      <c r="I627" s="126"/>
      <c r="J627" s="126"/>
      <c r="K627" s="126"/>
    </row>
    <row r="628" spans="1:11">
      <c r="B628" s="342" t="s">
        <v>1435</v>
      </c>
      <c r="C628" s="126"/>
      <c r="D628" s="126"/>
      <c r="E628" s="126"/>
      <c r="F628" s="126"/>
      <c r="G628" s="126">
        <v>650</v>
      </c>
      <c r="H628" s="126">
        <v>10</v>
      </c>
      <c r="I628" s="126"/>
      <c r="J628" s="126"/>
      <c r="K628" s="126"/>
    </row>
    <row r="629" spans="1:11">
      <c r="A629" s="101">
        <v>45887</v>
      </c>
      <c r="B629" s="342" t="s">
        <v>1436</v>
      </c>
      <c r="C629" s="126"/>
      <c r="D629" s="126">
        <v>130</v>
      </c>
      <c r="E629" s="126"/>
      <c r="F629" s="126"/>
      <c r="G629" s="126"/>
      <c r="H629" s="126">
        <v>8</v>
      </c>
      <c r="I629" s="126"/>
      <c r="J629" s="126"/>
      <c r="K629" s="126"/>
    </row>
    <row r="630" spans="1:11">
      <c r="B630" s="342" t="s">
        <v>1437</v>
      </c>
      <c r="C630" s="126"/>
      <c r="D630" s="126">
        <v>330</v>
      </c>
      <c r="E630" s="126"/>
      <c r="F630" s="126"/>
      <c r="G630" s="126"/>
      <c r="H630" s="126">
        <v>8</v>
      </c>
      <c r="I630" s="126"/>
      <c r="J630" s="126"/>
      <c r="K630" s="352"/>
    </row>
    <row r="631" spans="1:11">
      <c r="B631" s="342" t="s">
        <v>1035</v>
      </c>
      <c r="C631" s="126"/>
      <c r="D631" s="126">
        <v>2039.65</v>
      </c>
      <c r="E631" s="126"/>
      <c r="F631" s="126"/>
      <c r="G631" s="126"/>
      <c r="H631" s="126">
        <v>8</v>
      </c>
      <c r="I631" s="126"/>
      <c r="J631" s="126"/>
      <c r="K631" s="352"/>
    </row>
    <row r="632" spans="1:11">
      <c r="A632" s="101">
        <v>45888</v>
      </c>
      <c r="B632" s="342" t="s">
        <v>1438</v>
      </c>
      <c r="C632" s="126"/>
      <c r="D632" s="126">
        <v>1000</v>
      </c>
      <c r="E632" s="126"/>
      <c r="F632" s="126"/>
      <c r="G632" s="126"/>
      <c r="H632" s="126">
        <v>8</v>
      </c>
      <c r="I632" s="126"/>
      <c r="J632" s="126"/>
      <c r="K632" s="352"/>
    </row>
    <row r="633" spans="1:11">
      <c r="B633" s="342" t="s">
        <v>1439</v>
      </c>
      <c r="C633" s="126"/>
      <c r="D633" s="126">
        <v>380</v>
      </c>
      <c r="E633" s="126"/>
      <c r="F633" s="126"/>
      <c r="G633" s="126"/>
      <c r="H633" s="126">
        <v>8</v>
      </c>
      <c r="I633" s="126"/>
      <c r="J633" s="126"/>
      <c r="K633" s="352"/>
    </row>
    <row r="634" spans="1:11">
      <c r="B634" s="342" t="s">
        <v>1440</v>
      </c>
      <c r="C634" s="126"/>
      <c r="D634" s="126"/>
      <c r="E634" s="126"/>
      <c r="F634" s="126"/>
      <c r="G634" s="126">
        <v>370</v>
      </c>
      <c r="H634" s="126">
        <v>10</v>
      </c>
      <c r="I634" s="126"/>
      <c r="J634" s="126"/>
      <c r="K634" s="342"/>
    </row>
    <row r="635" spans="1:11">
      <c r="B635" s="342" t="s">
        <v>1441</v>
      </c>
      <c r="C635" s="126"/>
      <c r="D635" s="126">
        <v>5075</v>
      </c>
      <c r="E635" s="126"/>
      <c r="F635" s="126"/>
      <c r="G635" s="126"/>
      <c r="H635" s="126">
        <v>8</v>
      </c>
      <c r="I635" s="126"/>
      <c r="J635" s="126"/>
      <c r="K635" s="342"/>
    </row>
    <row r="636" spans="1:11">
      <c r="B636" s="342" t="s">
        <v>1442</v>
      </c>
      <c r="C636" s="126"/>
      <c r="D636" s="126">
        <v>1000</v>
      </c>
      <c r="E636" s="126"/>
      <c r="F636" s="126"/>
      <c r="G636" s="126"/>
      <c r="H636" s="126">
        <v>8</v>
      </c>
      <c r="I636" s="126"/>
      <c r="J636" s="126"/>
      <c r="K636" s="342"/>
    </row>
    <row r="637" spans="1:11">
      <c r="B637" s="342" t="s">
        <v>1443</v>
      </c>
      <c r="C637" s="126"/>
      <c r="D637" s="126">
        <v>3450</v>
      </c>
      <c r="E637" s="126"/>
      <c r="F637" s="126"/>
      <c r="G637" s="126"/>
      <c r="H637" s="126">
        <v>8</v>
      </c>
      <c r="I637" s="126"/>
      <c r="J637" s="126"/>
      <c r="K637" s="342"/>
    </row>
    <row r="638" spans="1:11">
      <c r="B638" s="342" t="s">
        <v>1444</v>
      </c>
      <c r="C638" s="126"/>
      <c r="D638" s="126">
        <v>592</v>
      </c>
      <c r="E638" s="126"/>
      <c r="F638" s="126"/>
      <c r="G638" s="126"/>
      <c r="H638" s="126">
        <v>8</v>
      </c>
      <c r="I638" s="126"/>
      <c r="J638" s="126"/>
      <c r="K638" s="342"/>
    </row>
    <row r="639" spans="1:11">
      <c r="B639" s="342" t="s">
        <v>1445</v>
      </c>
      <c r="C639" s="126"/>
      <c r="D639" s="126"/>
      <c r="E639" s="126"/>
      <c r="F639" s="126"/>
      <c r="G639" s="126">
        <v>1391.39</v>
      </c>
      <c r="H639" s="126">
        <v>10</v>
      </c>
      <c r="I639" s="126"/>
      <c r="J639" s="126"/>
      <c r="K639" s="342"/>
    </row>
    <row r="640" spans="1:11">
      <c r="B640" s="342" t="s">
        <v>1446</v>
      </c>
      <c r="C640" s="126"/>
      <c r="D640" s="126">
        <v>394.75</v>
      </c>
      <c r="E640" s="126"/>
      <c r="F640" s="126"/>
      <c r="G640" s="126"/>
      <c r="H640" s="126">
        <v>8</v>
      </c>
      <c r="I640" s="126"/>
      <c r="J640" s="126"/>
      <c r="K640" s="342"/>
    </row>
    <row r="641" spans="1:11">
      <c r="B641" s="342" t="s">
        <v>1447</v>
      </c>
      <c r="C641" s="126"/>
      <c r="D641" s="126">
        <v>4331.4799999999996</v>
      </c>
      <c r="E641" s="126"/>
      <c r="F641" s="126"/>
      <c r="G641" s="126"/>
      <c r="H641" s="126">
        <v>8</v>
      </c>
      <c r="I641" s="126"/>
      <c r="J641" s="126"/>
      <c r="K641" s="342"/>
    </row>
    <row r="642" spans="1:11">
      <c r="B642" s="342" t="s">
        <v>1448</v>
      </c>
      <c r="C642" s="126"/>
      <c r="D642" s="126"/>
      <c r="E642" s="126"/>
      <c r="F642" s="126"/>
      <c r="G642" s="126">
        <v>239</v>
      </c>
      <c r="H642" s="126">
        <v>10</v>
      </c>
      <c r="I642" s="126"/>
      <c r="J642" s="126"/>
      <c r="K642" s="342"/>
    </row>
    <row r="643" spans="1:11">
      <c r="A643" s="101">
        <v>45889</v>
      </c>
      <c r="B643" s="342" t="s">
        <v>1415</v>
      </c>
      <c r="C643" s="126"/>
      <c r="D643" s="126"/>
      <c r="E643" s="126"/>
      <c r="F643" s="126"/>
      <c r="G643" s="126">
        <v>3500</v>
      </c>
      <c r="H643" s="126">
        <v>10</v>
      </c>
      <c r="I643" s="126"/>
      <c r="J643" s="126"/>
      <c r="K643" s="342"/>
    </row>
    <row r="644" spans="1:11">
      <c r="B644" s="342" t="s">
        <v>1361</v>
      </c>
      <c r="C644" s="126"/>
      <c r="D644" s="126">
        <v>1000</v>
      </c>
      <c r="E644" s="126"/>
      <c r="F644" s="126"/>
      <c r="G644" s="126"/>
      <c r="H644" s="126">
        <v>9</v>
      </c>
      <c r="I644" s="126"/>
      <c r="J644" s="126"/>
      <c r="K644" s="342"/>
    </row>
    <row r="645" spans="1:11">
      <c r="A645" s="101">
        <v>45890</v>
      </c>
      <c r="B645" s="342" t="s">
        <v>649</v>
      </c>
      <c r="C645" s="126"/>
      <c r="D645" s="126"/>
      <c r="E645" s="126"/>
      <c r="F645" s="126"/>
      <c r="G645" s="126">
        <v>426.15</v>
      </c>
      <c r="H645" s="126">
        <v>10</v>
      </c>
      <c r="I645" s="126"/>
      <c r="J645" s="126"/>
      <c r="K645" s="342"/>
    </row>
    <row r="646" spans="1:11">
      <c r="B646" s="342" t="s">
        <v>1449</v>
      </c>
      <c r="C646" s="126"/>
      <c r="D646" s="126">
        <v>6730</v>
      </c>
      <c r="E646" s="126"/>
      <c r="F646" s="126"/>
      <c r="G646" s="126"/>
      <c r="H646" s="126">
        <v>8</v>
      </c>
      <c r="I646" s="126"/>
      <c r="J646" s="126"/>
      <c r="K646" s="342"/>
    </row>
    <row r="647" spans="1:11">
      <c r="B647" s="342" t="s">
        <v>1035</v>
      </c>
      <c r="C647" s="126"/>
      <c r="D647" s="126">
        <v>473.2</v>
      </c>
      <c r="E647" s="126"/>
      <c r="F647" s="126"/>
      <c r="G647" s="126"/>
      <c r="H647" s="126">
        <v>8</v>
      </c>
      <c r="I647" s="126"/>
      <c r="J647" s="126"/>
      <c r="K647" s="342"/>
    </row>
    <row r="648" spans="1:11">
      <c r="B648" s="342" t="s">
        <v>1450</v>
      </c>
      <c r="C648" s="126"/>
      <c r="D648" s="126">
        <v>1300</v>
      </c>
      <c r="E648" s="126"/>
      <c r="F648" s="126"/>
      <c r="G648" s="126"/>
      <c r="H648" s="126">
        <v>8</v>
      </c>
      <c r="I648" s="126"/>
      <c r="J648" s="126"/>
      <c r="K648" s="342"/>
    </row>
    <row r="649" spans="1:11">
      <c r="B649" s="342" t="s">
        <v>1451</v>
      </c>
      <c r="C649" s="126"/>
      <c r="D649" s="126"/>
      <c r="E649" s="126"/>
      <c r="F649" s="126"/>
      <c r="G649" s="126">
        <v>239.57</v>
      </c>
      <c r="H649" s="126">
        <v>10</v>
      </c>
      <c r="I649" s="126"/>
      <c r="J649" s="126"/>
      <c r="K649" s="342"/>
    </row>
    <row r="650" spans="1:11">
      <c r="A650" s="101">
        <v>45891</v>
      </c>
      <c r="B650" s="342" t="s">
        <v>1035</v>
      </c>
      <c r="C650" s="126"/>
      <c r="D650" s="126">
        <v>6050</v>
      </c>
      <c r="E650" s="126"/>
      <c r="F650" s="126"/>
      <c r="G650" s="126"/>
      <c r="H650" s="126">
        <v>8</v>
      </c>
      <c r="I650" s="126"/>
      <c r="J650" s="126"/>
      <c r="K650" s="342"/>
    </row>
    <row r="651" spans="1:11">
      <c r="B651" s="342" t="s">
        <v>1035</v>
      </c>
      <c r="C651" s="126"/>
      <c r="D651" s="126">
        <v>6236.5</v>
      </c>
      <c r="E651" s="126"/>
      <c r="F651" s="126"/>
      <c r="G651" s="126"/>
      <c r="H651" s="126">
        <v>8</v>
      </c>
      <c r="I651" s="126"/>
      <c r="J651" s="126"/>
      <c r="K651" s="342"/>
    </row>
    <row r="652" spans="1:11">
      <c r="B652" s="342" t="s">
        <v>1452</v>
      </c>
      <c r="C652" s="126"/>
      <c r="D652" s="126">
        <v>2280</v>
      </c>
      <c r="E652" s="126"/>
      <c r="F652" s="126"/>
      <c r="G652" s="126"/>
      <c r="H652" s="126">
        <v>8</v>
      </c>
      <c r="I652" s="126"/>
      <c r="J652" s="126"/>
      <c r="K652" s="342"/>
    </row>
    <row r="653" spans="1:11">
      <c r="B653" s="342" t="s">
        <v>1439</v>
      </c>
      <c r="C653" s="126"/>
      <c r="D653" s="126">
        <v>130</v>
      </c>
      <c r="E653" s="126"/>
      <c r="F653" s="126"/>
      <c r="G653" s="126"/>
      <c r="H653" s="126">
        <v>8</v>
      </c>
      <c r="I653" s="126"/>
      <c r="J653" s="126"/>
      <c r="K653" s="342"/>
    </row>
    <row r="654" spans="1:11">
      <c r="B654" s="342" t="s">
        <v>1437</v>
      </c>
      <c r="C654" s="126"/>
      <c r="D654" s="126">
        <v>650</v>
      </c>
      <c r="E654" s="126"/>
      <c r="F654" s="126"/>
      <c r="G654" s="126"/>
      <c r="H654" s="126">
        <v>8</v>
      </c>
      <c r="I654" s="126"/>
      <c r="J654" s="126"/>
      <c r="K654" s="342"/>
    </row>
    <row r="655" spans="1:11">
      <c r="B655" s="342" t="s">
        <v>1453</v>
      </c>
      <c r="C655" s="126"/>
      <c r="D655" s="126">
        <v>400</v>
      </c>
      <c r="E655" s="126"/>
      <c r="F655" s="126"/>
      <c r="G655" s="126"/>
      <c r="H655" s="126">
        <v>8</v>
      </c>
      <c r="I655" s="126"/>
      <c r="J655" s="126"/>
      <c r="K655" s="342"/>
    </row>
    <row r="656" spans="1:11">
      <c r="B656" s="342" t="s">
        <v>1454</v>
      </c>
      <c r="C656" s="126"/>
      <c r="D656" s="126"/>
      <c r="E656" s="126"/>
      <c r="F656" s="126"/>
      <c r="G656" s="126">
        <v>1000</v>
      </c>
      <c r="H656" s="126">
        <v>10</v>
      </c>
      <c r="I656" s="126"/>
      <c r="J656" s="126"/>
      <c r="K656" s="342"/>
    </row>
    <row r="657" spans="1:12">
      <c r="A657" s="101">
        <v>45892</v>
      </c>
      <c r="B657" s="342" t="s">
        <v>1455</v>
      </c>
      <c r="C657" s="126"/>
      <c r="D657" s="126"/>
      <c r="E657" s="126"/>
      <c r="F657" s="126"/>
      <c r="G657" s="126"/>
      <c r="H657" s="126"/>
      <c r="I657" s="126"/>
      <c r="J657" s="126"/>
      <c r="K657" s="342"/>
    </row>
    <row r="658" spans="1:12">
      <c r="B658" s="342" t="s">
        <v>1456</v>
      </c>
      <c r="C658" s="126"/>
      <c r="D658" s="126">
        <v>4800</v>
      </c>
      <c r="E658" s="126"/>
      <c r="F658" s="126"/>
      <c r="G658" s="126"/>
      <c r="H658" s="126">
        <v>8</v>
      </c>
      <c r="I658" s="126"/>
      <c r="J658" s="126"/>
      <c r="K658" s="342"/>
    </row>
    <row r="659" spans="1:12">
      <c r="A659" s="342"/>
      <c r="B659" s="342" t="s">
        <v>1457</v>
      </c>
      <c r="C659" s="126"/>
      <c r="D659" s="126">
        <v>4200</v>
      </c>
      <c r="E659" s="126"/>
      <c r="F659" s="126"/>
      <c r="G659" s="126"/>
      <c r="H659" s="126">
        <v>8</v>
      </c>
      <c r="I659" s="126"/>
      <c r="J659" s="126"/>
      <c r="K659" s="342"/>
      <c r="L659" s="342"/>
    </row>
    <row r="660" spans="1:12">
      <c r="A660" s="342"/>
      <c r="B660" s="342" t="s">
        <v>1458</v>
      </c>
      <c r="C660" s="126"/>
      <c r="D660" s="126">
        <v>4200</v>
      </c>
      <c r="E660" s="126"/>
      <c r="F660" s="126"/>
      <c r="G660" s="126"/>
      <c r="H660" s="126">
        <v>8</v>
      </c>
      <c r="I660" s="126"/>
      <c r="J660" s="126"/>
      <c r="K660" s="342"/>
      <c r="L660" s="342"/>
    </row>
    <row r="661" spans="1:12">
      <c r="A661" s="342"/>
      <c r="B661" s="342" t="s">
        <v>1459</v>
      </c>
      <c r="C661" s="342"/>
      <c r="D661" s="126">
        <v>3500</v>
      </c>
      <c r="E661" s="342"/>
      <c r="F661" s="342"/>
      <c r="G661" s="342"/>
      <c r="H661" s="126">
        <v>8</v>
      </c>
      <c r="I661" s="342"/>
      <c r="J661" s="342"/>
      <c r="K661" s="342"/>
      <c r="L661" s="342"/>
    </row>
    <row r="662" spans="1:12">
      <c r="A662" s="342"/>
      <c r="B662" s="342" t="s">
        <v>1460</v>
      </c>
      <c r="C662" s="342"/>
      <c r="D662" s="126">
        <v>3600</v>
      </c>
      <c r="E662" s="342"/>
      <c r="F662" s="342"/>
      <c r="G662" s="342"/>
      <c r="H662" s="126">
        <v>8</v>
      </c>
      <c r="I662" s="342"/>
      <c r="J662" s="342"/>
      <c r="K662" s="342"/>
      <c r="L662" s="342"/>
    </row>
    <row r="663" spans="1:12">
      <c r="A663" s="342"/>
      <c r="B663" s="342" t="s">
        <v>1461</v>
      </c>
      <c r="C663" s="342"/>
      <c r="D663" s="126">
        <v>3000</v>
      </c>
      <c r="E663" s="342"/>
      <c r="F663" s="342"/>
      <c r="G663" s="342"/>
      <c r="H663" s="126">
        <v>8</v>
      </c>
      <c r="I663" s="342"/>
      <c r="J663" s="342"/>
      <c r="K663" s="342"/>
      <c r="L663" s="342"/>
    </row>
    <row r="664" spans="1:12">
      <c r="A664" s="342"/>
      <c r="B664" s="342" t="s">
        <v>1462</v>
      </c>
      <c r="C664" s="342"/>
      <c r="D664" s="126"/>
      <c r="E664" s="126"/>
      <c r="F664" s="126"/>
      <c r="G664" s="126"/>
      <c r="H664" s="126"/>
      <c r="I664" s="342"/>
      <c r="J664" s="342"/>
      <c r="K664" s="342"/>
      <c r="L664" s="342"/>
    </row>
    <row r="665" spans="1:12">
      <c r="A665" s="342"/>
      <c r="B665" s="342" t="s">
        <v>1463</v>
      </c>
      <c r="C665" s="342"/>
      <c r="D665" s="126"/>
      <c r="E665" s="126"/>
      <c r="F665" s="126"/>
      <c r="G665" s="126">
        <v>500</v>
      </c>
      <c r="H665" s="126">
        <v>10</v>
      </c>
      <c r="I665" s="342"/>
      <c r="J665" s="342"/>
      <c r="K665" s="342"/>
      <c r="L665" s="342"/>
    </row>
    <row r="666" spans="1:12">
      <c r="A666" s="342"/>
      <c r="B666" s="342" t="s">
        <v>1464</v>
      </c>
      <c r="C666" s="342"/>
      <c r="D666" s="126"/>
      <c r="E666" s="126"/>
      <c r="F666" s="126"/>
      <c r="G666" s="126">
        <v>500</v>
      </c>
      <c r="H666" s="126">
        <v>10</v>
      </c>
      <c r="I666" s="342"/>
      <c r="J666" s="342"/>
      <c r="K666" s="342"/>
      <c r="L666" s="342"/>
    </row>
    <row r="667" spans="1:12">
      <c r="A667" s="342"/>
      <c r="B667" s="342" t="s">
        <v>1465</v>
      </c>
      <c r="C667" s="342"/>
      <c r="D667" s="126"/>
      <c r="E667" s="126"/>
      <c r="F667" s="126"/>
      <c r="G667" s="126">
        <v>500</v>
      </c>
      <c r="H667" s="126">
        <v>10</v>
      </c>
      <c r="I667" s="342"/>
      <c r="J667" s="342"/>
      <c r="K667" s="342"/>
      <c r="L667" s="342"/>
    </row>
    <row r="668" spans="1:12">
      <c r="A668" s="342"/>
      <c r="B668" s="342" t="s">
        <v>1466</v>
      </c>
      <c r="C668" s="342"/>
      <c r="D668" s="126"/>
      <c r="E668" s="126"/>
      <c r="F668" s="126"/>
      <c r="G668" s="126">
        <v>400</v>
      </c>
      <c r="H668" s="126">
        <v>10</v>
      </c>
      <c r="I668" s="342"/>
      <c r="J668" s="342"/>
      <c r="K668" s="342"/>
      <c r="L668" s="342"/>
    </row>
    <row r="669" spans="1:12">
      <c r="A669" s="342"/>
      <c r="B669" s="342" t="s">
        <v>1442</v>
      </c>
      <c r="C669" s="342"/>
      <c r="D669" s="126">
        <v>2000</v>
      </c>
      <c r="E669" s="126"/>
      <c r="F669" s="126"/>
      <c r="G669" s="126"/>
      <c r="H669" s="126">
        <v>8</v>
      </c>
      <c r="I669" s="342"/>
      <c r="J669" s="342"/>
      <c r="K669" s="342"/>
      <c r="L669" s="342"/>
    </row>
    <row r="670" spans="1:12">
      <c r="A670" s="342"/>
      <c r="B670" s="342" t="s">
        <v>692</v>
      </c>
      <c r="C670" s="126">
        <v>2000</v>
      </c>
      <c r="D670" s="126"/>
      <c r="E670" s="126"/>
      <c r="F670" s="126"/>
      <c r="G670" s="126"/>
      <c r="H670" s="126">
        <v>7</v>
      </c>
      <c r="I670" s="342"/>
      <c r="J670" s="342"/>
      <c r="K670" s="342"/>
      <c r="L670" s="342"/>
    </row>
    <row r="671" spans="1:12">
      <c r="A671" s="342"/>
      <c r="B671" s="342" t="s">
        <v>1467</v>
      </c>
      <c r="C671" s="126"/>
      <c r="D671" s="126"/>
      <c r="E671" s="126"/>
      <c r="F671" s="126"/>
      <c r="G671" s="126">
        <v>1000</v>
      </c>
      <c r="H671" s="126">
        <v>10</v>
      </c>
      <c r="I671" s="342"/>
      <c r="J671" s="342"/>
      <c r="K671" s="342"/>
      <c r="L671" s="342"/>
    </row>
    <row r="672" spans="1:12">
      <c r="A672" s="342"/>
      <c r="B672" s="342" t="s">
        <v>1437</v>
      </c>
      <c r="C672" s="126"/>
      <c r="D672" s="126">
        <v>110</v>
      </c>
      <c r="E672" s="126"/>
      <c r="F672" s="126"/>
      <c r="G672" s="126"/>
      <c r="H672" s="126">
        <v>8</v>
      </c>
      <c r="I672" s="342"/>
      <c r="J672" s="342"/>
      <c r="K672" s="342"/>
      <c r="L672" s="342"/>
    </row>
    <row r="673" spans="1:12">
      <c r="A673" s="101">
        <v>45894</v>
      </c>
      <c r="B673" s="342" t="s">
        <v>1450</v>
      </c>
      <c r="C673" s="126"/>
      <c r="D673" s="126">
        <v>3750</v>
      </c>
      <c r="E673" s="126"/>
      <c r="F673" s="126"/>
      <c r="G673" s="126"/>
      <c r="H673" s="126">
        <v>8</v>
      </c>
      <c r="I673" s="342"/>
      <c r="J673" s="342"/>
      <c r="K673" s="342"/>
      <c r="L673" s="342"/>
    </row>
    <row r="674" spans="1:12">
      <c r="A674" s="342"/>
      <c r="B674" s="342" t="s">
        <v>1468</v>
      </c>
      <c r="C674" s="126"/>
      <c r="D674" s="126"/>
      <c r="E674" s="126"/>
      <c r="F674" s="126"/>
      <c r="G674" s="126">
        <v>952</v>
      </c>
      <c r="H674" s="126">
        <v>10</v>
      </c>
      <c r="I674" s="342"/>
      <c r="J674" s="342"/>
      <c r="K674" s="342"/>
      <c r="L674" s="342"/>
    </row>
    <row r="675" spans="1:12">
      <c r="A675" s="342"/>
      <c r="B675" s="342" t="s">
        <v>1439</v>
      </c>
      <c r="C675" s="126"/>
      <c r="D675" s="126">
        <v>175</v>
      </c>
      <c r="E675" s="126"/>
      <c r="F675" s="126"/>
      <c r="G675" s="126"/>
      <c r="H675" s="126">
        <v>8</v>
      </c>
      <c r="I675" s="342"/>
      <c r="J675" s="342"/>
      <c r="K675" s="342"/>
      <c r="L675" s="342"/>
    </row>
    <row r="676" spans="1:12">
      <c r="A676" s="101">
        <v>45895</v>
      </c>
      <c r="B676" s="342" t="s">
        <v>1469</v>
      </c>
      <c r="C676" s="126"/>
      <c r="D676" s="126"/>
      <c r="E676" s="126"/>
      <c r="F676" s="126"/>
      <c r="G676" s="126">
        <v>10150</v>
      </c>
      <c r="H676" s="126">
        <v>10</v>
      </c>
      <c r="I676" s="342"/>
      <c r="J676" s="342"/>
      <c r="K676" s="342"/>
      <c r="L676" s="342"/>
    </row>
    <row r="677" spans="1:12">
      <c r="A677" s="101">
        <v>45896</v>
      </c>
      <c r="B677" s="342" t="s">
        <v>1361</v>
      </c>
      <c r="C677" s="126"/>
      <c r="D677" s="126">
        <v>1000</v>
      </c>
      <c r="E677" s="126"/>
      <c r="F677" s="126"/>
      <c r="G677" s="126"/>
      <c r="H677" s="126">
        <v>9</v>
      </c>
      <c r="I677" s="342"/>
      <c r="J677" s="342"/>
      <c r="K677" s="342"/>
      <c r="L677" s="342"/>
    </row>
    <row r="678" spans="1:12">
      <c r="A678" s="101">
        <v>45897</v>
      </c>
      <c r="B678" s="342" t="s">
        <v>1406</v>
      </c>
      <c r="C678" s="126"/>
      <c r="D678" s="126"/>
      <c r="E678" s="126"/>
      <c r="F678" s="126"/>
      <c r="G678" s="126">
        <v>1997</v>
      </c>
      <c r="H678" s="126">
        <v>8</v>
      </c>
      <c r="I678" s="342"/>
      <c r="J678" s="342"/>
      <c r="K678" s="342"/>
      <c r="L678" s="342"/>
    </row>
    <row r="679" spans="1:12">
      <c r="A679" s="101">
        <v>45898</v>
      </c>
      <c r="B679" s="342" t="s">
        <v>1450</v>
      </c>
      <c r="C679" s="126"/>
      <c r="D679" s="126">
        <v>4940</v>
      </c>
      <c r="E679" s="126"/>
      <c r="F679" s="126"/>
      <c r="G679" s="126"/>
      <c r="H679" s="126">
        <v>8</v>
      </c>
      <c r="I679" s="342"/>
      <c r="J679" s="342"/>
      <c r="K679" s="342"/>
      <c r="L679" s="342"/>
    </row>
    <row r="680" spans="1:12">
      <c r="A680" s="342"/>
      <c r="B680" s="342" t="s">
        <v>1470</v>
      </c>
      <c r="C680" s="126"/>
      <c r="D680" s="126">
        <v>12375</v>
      </c>
      <c r="E680" s="126"/>
      <c r="F680" s="126"/>
      <c r="G680" s="126"/>
      <c r="H680" s="126">
        <v>8</v>
      </c>
      <c r="I680" s="342"/>
      <c r="J680" s="342"/>
      <c r="K680" s="342"/>
      <c r="L680" s="342"/>
    </row>
    <row r="681" spans="1:12">
      <c r="A681" s="342"/>
      <c r="B681" s="342" t="s">
        <v>1472</v>
      </c>
      <c r="C681" s="126"/>
      <c r="D681" s="126">
        <v>84197.69</v>
      </c>
      <c r="E681" s="342"/>
      <c r="F681" s="342"/>
      <c r="G681" s="342"/>
      <c r="H681" s="126">
        <v>8</v>
      </c>
      <c r="I681" s="342"/>
      <c r="J681" s="342"/>
      <c r="K681" s="342"/>
      <c r="L681" s="342"/>
    </row>
    <row r="682" spans="1:12">
      <c r="A682" s="342"/>
      <c r="B682" s="342" t="s">
        <v>1471</v>
      </c>
      <c r="C682" s="126"/>
      <c r="D682" s="342"/>
      <c r="E682" s="342"/>
      <c r="F682" s="342"/>
      <c r="G682" s="342"/>
      <c r="H682" s="126"/>
      <c r="I682" s="342"/>
      <c r="J682" s="342"/>
      <c r="K682" s="342"/>
      <c r="L682" s="342"/>
    </row>
    <row r="683" spans="1:12">
      <c r="A683" s="342"/>
      <c r="B683" s="342" t="s">
        <v>1035</v>
      </c>
      <c r="C683" s="126"/>
      <c r="D683" s="126">
        <v>6742.55</v>
      </c>
      <c r="E683" s="342"/>
      <c r="F683" s="342"/>
      <c r="G683" s="342"/>
      <c r="H683" s="126">
        <v>8</v>
      </c>
      <c r="I683" s="342"/>
      <c r="J683" s="342"/>
      <c r="K683" s="342"/>
      <c r="L683" s="342"/>
    </row>
    <row r="684" spans="1:12">
      <c r="A684" s="101">
        <v>45899</v>
      </c>
      <c r="B684" s="342" t="s">
        <v>1473</v>
      </c>
      <c r="C684" s="126"/>
      <c r="D684" s="126"/>
      <c r="E684" s="126"/>
      <c r="F684" s="126"/>
      <c r="G684" s="126"/>
      <c r="H684" s="126"/>
      <c r="I684" s="126"/>
      <c r="J684" s="126"/>
      <c r="K684" s="342"/>
      <c r="L684" s="342"/>
    </row>
    <row r="685" spans="1:12">
      <c r="A685" s="342"/>
      <c r="B685" s="342" t="s">
        <v>1474</v>
      </c>
      <c r="C685" s="126"/>
      <c r="D685" s="126">
        <v>3200</v>
      </c>
      <c r="E685" s="126"/>
      <c r="F685" s="126"/>
      <c r="G685" s="126"/>
      <c r="H685" s="126">
        <v>8</v>
      </c>
      <c r="I685" s="126"/>
      <c r="J685" s="126"/>
      <c r="K685" s="342"/>
      <c r="L685" s="342"/>
    </row>
    <row r="686" spans="1:12">
      <c r="A686" s="342"/>
      <c r="B686" s="342" t="s">
        <v>1457</v>
      </c>
      <c r="C686" s="126"/>
      <c r="D686" s="126">
        <v>4200</v>
      </c>
      <c r="E686" s="126"/>
      <c r="F686" s="126"/>
      <c r="G686" s="126"/>
      <c r="H686" s="126">
        <v>8</v>
      </c>
      <c r="I686" s="126"/>
      <c r="J686" s="126"/>
      <c r="K686" s="342"/>
      <c r="L686" s="342"/>
    </row>
    <row r="687" spans="1:12">
      <c r="A687" s="342"/>
      <c r="B687" s="342" t="s">
        <v>1458</v>
      </c>
      <c r="C687" s="126"/>
      <c r="D687" s="126">
        <v>2800</v>
      </c>
      <c r="E687" s="126"/>
      <c r="F687" s="126"/>
      <c r="G687" s="126"/>
      <c r="H687" s="126">
        <v>8</v>
      </c>
      <c r="I687" s="126"/>
      <c r="J687" s="126"/>
      <c r="K687" s="342"/>
      <c r="L687" s="342"/>
    </row>
    <row r="688" spans="1:12">
      <c r="A688" s="342"/>
      <c r="B688" s="342" t="s">
        <v>1459</v>
      </c>
      <c r="C688" s="126"/>
      <c r="D688" s="126">
        <v>3500</v>
      </c>
      <c r="E688" s="126"/>
      <c r="F688" s="126"/>
      <c r="G688" s="126"/>
      <c r="H688" s="126">
        <v>8</v>
      </c>
      <c r="I688" s="126"/>
      <c r="J688" s="126"/>
      <c r="K688" s="342"/>
      <c r="L688" s="342"/>
    </row>
    <row r="689" spans="1:12">
      <c r="A689" s="342"/>
      <c r="B689" s="342" t="s">
        <v>1460</v>
      </c>
      <c r="C689" s="126"/>
      <c r="D689" s="126">
        <v>3000</v>
      </c>
      <c r="E689" s="126"/>
      <c r="F689" s="126"/>
      <c r="G689" s="126"/>
      <c r="H689" s="126">
        <v>8</v>
      </c>
      <c r="I689" s="126"/>
      <c r="J689" s="126"/>
      <c r="K689" s="342"/>
      <c r="L689" s="342"/>
    </row>
    <row r="690" spans="1:12">
      <c r="A690" s="342"/>
      <c r="B690" s="342" t="s">
        <v>1461</v>
      </c>
      <c r="C690" s="126"/>
      <c r="D690" s="126">
        <v>3600</v>
      </c>
      <c r="E690" s="126"/>
      <c r="F690" s="126"/>
      <c r="G690" s="126"/>
      <c r="H690" s="126">
        <v>8</v>
      </c>
      <c r="I690" s="126"/>
      <c r="J690" s="126"/>
      <c r="K690" s="342"/>
      <c r="L690" s="342"/>
    </row>
    <row r="691" spans="1:12">
      <c r="A691" s="342"/>
      <c r="B691" s="342" t="s">
        <v>1463</v>
      </c>
      <c r="C691" s="126"/>
      <c r="D691" s="126">
        <v>500</v>
      </c>
      <c r="E691" s="126"/>
      <c r="F691" s="126"/>
      <c r="G691" s="126"/>
      <c r="H691" s="126">
        <v>10</v>
      </c>
      <c r="I691" s="126"/>
      <c r="J691" s="126"/>
      <c r="K691" s="342"/>
      <c r="L691" s="342"/>
    </row>
    <row r="692" spans="1:12">
      <c r="A692" s="342"/>
      <c r="B692" s="342" t="s">
        <v>1475</v>
      </c>
      <c r="C692" s="126"/>
      <c r="D692" s="126">
        <v>500</v>
      </c>
      <c r="E692" s="126"/>
      <c r="F692" s="126"/>
      <c r="G692" s="126"/>
      <c r="H692" s="126">
        <v>10</v>
      </c>
      <c r="I692" s="126"/>
      <c r="J692" s="126"/>
      <c r="K692" s="342"/>
      <c r="L692" s="342"/>
    </row>
    <row r="693" spans="1:12">
      <c r="A693" s="342"/>
      <c r="B693" s="342" t="s">
        <v>1476</v>
      </c>
      <c r="C693" s="126"/>
      <c r="D693" s="126">
        <v>500</v>
      </c>
      <c r="E693" s="126"/>
      <c r="F693" s="126"/>
      <c r="G693" s="126"/>
      <c r="H693" s="126">
        <v>10</v>
      </c>
      <c r="I693" s="126"/>
      <c r="J693" s="126"/>
      <c r="K693" s="342"/>
      <c r="L693" s="342"/>
    </row>
    <row r="694" spans="1:12">
      <c r="B694" s="342" t="s">
        <v>1450</v>
      </c>
      <c r="C694" s="126"/>
      <c r="D694" s="126">
        <v>240</v>
      </c>
      <c r="E694" s="126"/>
      <c r="F694" s="126"/>
      <c r="G694" s="126"/>
      <c r="H694" s="126">
        <v>8</v>
      </c>
      <c r="I694" s="126"/>
      <c r="J694" s="126"/>
    </row>
    <row r="695" spans="1:12">
      <c r="B695" s="342" t="s">
        <v>1035</v>
      </c>
      <c r="C695" s="126"/>
      <c r="D695" s="126">
        <v>4184.5</v>
      </c>
      <c r="E695" s="126"/>
      <c r="F695" s="126"/>
      <c r="G695" s="126"/>
      <c r="H695" s="126">
        <v>8</v>
      </c>
      <c r="I695" s="126"/>
      <c r="J695" s="126"/>
    </row>
    <row r="696" spans="1:12">
      <c r="A696" s="101">
        <v>45900</v>
      </c>
      <c r="B696" s="342" t="s">
        <v>1035</v>
      </c>
      <c r="C696" s="126"/>
      <c r="D696" s="126">
        <v>311</v>
      </c>
      <c r="E696" s="126"/>
      <c r="F696" s="126"/>
      <c r="G696" s="126"/>
      <c r="H696" s="126">
        <v>8</v>
      </c>
      <c r="I696" s="126"/>
      <c r="J696" s="126"/>
    </row>
    <row r="697" spans="1:12">
      <c r="B697" s="342" t="s">
        <v>1477</v>
      </c>
      <c r="C697" s="126"/>
      <c r="D697" s="126">
        <v>1060</v>
      </c>
      <c r="E697" s="126"/>
      <c r="F697" s="126"/>
      <c r="G697" s="126"/>
      <c r="H697" s="126">
        <v>10</v>
      </c>
      <c r="I697" s="126"/>
      <c r="J697" s="126"/>
    </row>
    <row r="698" spans="1:12">
      <c r="B698" s="342" t="s">
        <v>841</v>
      </c>
      <c r="C698" s="342"/>
      <c r="D698" s="342"/>
      <c r="E698" s="342"/>
      <c r="F698" s="342"/>
      <c r="G698" s="126">
        <v>2622.65</v>
      </c>
      <c r="H698" s="126">
        <v>10</v>
      </c>
      <c r="I698" s="342"/>
      <c r="J698" s="342"/>
    </row>
    <row r="699" spans="1:12">
      <c r="B699" s="126" t="s">
        <v>1478</v>
      </c>
      <c r="C699" s="126"/>
      <c r="D699" s="126"/>
      <c r="E699" s="126"/>
      <c r="F699" s="126"/>
      <c r="G699" s="126">
        <v>4600</v>
      </c>
      <c r="H699" s="126">
        <v>10</v>
      </c>
      <c r="I699" s="126"/>
      <c r="J699" s="126"/>
      <c r="K699" s="126"/>
    </row>
    <row r="700" spans="1:12">
      <c r="B700" s="126" t="s">
        <v>1479</v>
      </c>
      <c r="C700" s="126"/>
      <c r="D700" s="126"/>
      <c r="E700" s="126"/>
      <c r="F700" s="126"/>
      <c r="G700" s="126">
        <v>620</v>
      </c>
      <c r="H700" s="126">
        <v>10</v>
      </c>
      <c r="I700" s="126"/>
      <c r="J700" s="126"/>
      <c r="K700" s="126"/>
    </row>
    <row r="701" spans="1:12">
      <c r="B701" s="126" t="s">
        <v>1480</v>
      </c>
      <c r="C701" s="126"/>
      <c r="D701" s="126">
        <v>4000</v>
      </c>
      <c r="E701" s="126"/>
      <c r="F701" s="126"/>
      <c r="G701" s="126"/>
      <c r="H701" s="126">
        <v>10</v>
      </c>
      <c r="I701" s="126"/>
      <c r="J701" s="126"/>
      <c r="K701" s="126"/>
    </row>
    <row r="702" spans="1:12">
      <c r="B702" s="126" t="s">
        <v>1481</v>
      </c>
      <c r="C702" s="126">
        <v>2500</v>
      </c>
      <c r="D702" s="126"/>
      <c r="E702" s="126"/>
      <c r="F702" s="126"/>
      <c r="G702" s="126"/>
      <c r="H702" s="126">
        <v>8</v>
      </c>
      <c r="I702" s="126"/>
      <c r="J702" s="126"/>
      <c r="K702" s="126"/>
    </row>
    <row r="703" spans="1:12">
      <c r="B703" s="126" t="s">
        <v>1482</v>
      </c>
      <c r="C703" s="17">
        <v>10000</v>
      </c>
      <c r="D703" s="23">
        <v>6500</v>
      </c>
      <c r="E703" s="126"/>
      <c r="F703" s="126"/>
      <c r="G703" s="126"/>
      <c r="H703" s="126">
        <v>6</v>
      </c>
      <c r="I703" s="126"/>
      <c r="J703" s="126"/>
      <c r="K703" s="126"/>
    </row>
    <row r="704" spans="1:12">
      <c r="B704" s="14" t="s">
        <v>749</v>
      </c>
      <c r="C704" s="126">
        <v>6500</v>
      </c>
      <c r="D704" s="126"/>
      <c r="E704" s="126"/>
      <c r="F704" s="126"/>
      <c r="G704" s="126"/>
      <c r="H704" s="126">
        <v>3</v>
      </c>
      <c r="I704" s="126"/>
      <c r="J704" s="126"/>
      <c r="K704" s="126"/>
    </row>
    <row r="705" spans="1:12">
      <c r="B705" s="205" t="s">
        <v>1483</v>
      </c>
      <c r="C705" s="126">
        <v>760</v>
      </c>
      <c r="D705" s="126"/>
      <c r="E705" s="126"/>
      <c r="F705" s="126"/>
      <c r="G705" s="126"/>
      <c r="H705" s="126" t="s">
        <v>648</v>
      </c>
      <c r="I705" s="126"/>
      <c r="J705" s="126"/>
      <c r="K705" s="126"/>
    </row>
    <row r="706" spans="1:12">
      <c r="A706" s="366" t="s">
        <v>784</v>
      </c>
      <c r="B706" s="158" t="s">
        <v>960</v>
      </c>
      <c r="C706" s="158">
        <f>SUM(C554:C705)</f>
        <v>80328.479999999996</v>
      </c>
      <c r="D706" s="158">
        <f>SUM(D554:D704)</f>
        <v>296122.3</v>
      </c>
      <c r="E706" s="158"/>
      <c r="F706" s="158"/>
      <c r="G706" s="158">
        <f>SUM(G554:G704)</f>
        <v>145673.86000000002</v>
      </c>
      <c r="H706" s="158"/>
      <c r="I706" s="158">
        <f>SUM(C706:H706)</f>
        <v>522124.64</v>
      </c>
      <c r="J706" s="126"/>
      <c r="K706" s="126"/>
    </row>
    <row r="707" spans="1:12">
      <c r="A707" s="340" t="s">
        <v>797</v>
      </c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</row>
    <row r="708" spans="1:12">
      <c r="A708" s="101">
        <v>45901</v>
      </c>
      <c r="B708" s="126" t="s">
        <v>1450</v>
      </c>
      <c r="C708" s="126"/>
      <c r="D708" s="126">
        <v>12990</v>
      </c>
      <c r="E708" s="126"/>
      <c r="F708" s="126"/>
      <c r="G708" s="126"/>
      <c r="H708" s="126">
        <v>8</v>
      </c>
      <c r="I708" s="126"/>
      <c r="J708" s="126"/>
      <c r="K708" s="126"/>
    </row>
    <row r="709" spans="1:12">
      <c r="A709" s="342"/>
      <c r="B709" s="126" t="s">
        <v>1484</v>
      </c>
      <c r="C709" s="126"/>
      <c r="D709" s="126"/>
      <c r="E709" s="126"/>
      <c r="F709" s="126"/>
      <c r="G709" s="126">
        <v>4500</v>
      </c>
      <c r="H709" s="126">
        <v>10</v>
      </c>
      <c r="I709" s="126"/>
      <c r="J709" s="126"/>
      <c r="K709" s="126"/>
    </row>
    <row r="710" spans="1:12">
      <c r="A710" s="342"/>
      <c r="B710" s="126" t="s">
        <v>1485</v>
      </c>
      <c r="C710" s="126"/>
      <c r="D710" s="126">
        <v>256</v>
      </c>
      <c r="E710" s="126"/>
      <c r="F710" s="126"/>
      <c r="G710" s="126"/>
      <c r="H710" s="126">
        <v>8</v>
      </c>
      <c r="I710" s="126"/>
      <c r="J710" s="126"/>
      <c r="K710" s="126"/>
    </row>
    <row r="711" spans="1:12">
      <c r="A711" s="342"/>
      <c r="B711" s="126" t="s">
        <v>1035</v>
      </c>
      <c r="C711" s="126"/>
      <c r="D711" s="126">
        <v>1326</v>
      </c>
      <c r="E711" s="126"/>
      <c r="F711" s="126"/>
      <c r="G711" s="126"/>
      <c r="H711" s="126">
        <v>8</v>
      </c>
      <c r="I711" s="126"/>
      <c r="J711" s="126"/>
      <c r="K711" s="126"/>
    </row>
    <row r="712" spans="1:12">
      <c r="A712" s="101">
        <v>45902</v>
      </c>
      <c r="B712" s="126" t="s">
        <v>1452</v>
      </c>
      <c r="C712" s="126">
        <v>233</v>
      </c>
      <c r="D712" s="126"/>
      <c r="E712" s="126"/>
      <c r="F712" s="126"/>
      <c r="G712" s="126"/>
      <c r="H712" s="126">
        <v>8</v>
      </c>
      <c r="I712" s="126"/>
      <c r="J712" s="126"/>
      <c r="K712" s="126"/>
    </row>
    <row r="713" spans="1:12">
      <c r="A713" s="342"/>
      <c r="B713" s="126" t="s">
        <v>1439</v>
      </c>
      <c r="C713" s="126"/>
      <c r="D713" s="126">
        <v>650</v>
      </c>
      <c r="E713" s="126"/>
      <c r="F713" s="126"/>
      <c r="G713" s="126"/>
      <c r="H713" s="126">
        <v>8</v>
      </c>
      <c r="I713" s="126"/>
      <c r="J713" s="126"/>
      <c r="K713" s="126"/>
    </row>
    <row r="714" spans="1:12">
      <c r="A714" s="342"/>
      <c r="B714" s="126" t="s">
        <v>1486</v>
      </c>
      <c r="C714" s="126"/>
      <c r="D714" s="126"/>
      <c r="E714" s="126"/>
      <c r="F714" s="126"/>
      <c r="G714" s="126">
        <v>20000</v>
      </c>
      <c r="H714" s="126" t="s">
        <v>633</v>
      </c>
      <c r="I714" s="126"/>
      <c r="J714" s="349" t="s">
        <v>797</v>
      </c>
      <c r="K714" s="54" t="s">
        <v>661</v>
      </c>
    </row>
    <row r="715" spans="1:12">
      <c r="A715" s="101">
        <v>45903</v>
      </c>
      <c r="B715" s="126" t="s">
        <v>1487</v>
      </c>
      <c r="C715" s="126">
        <v>9591.6299999999992</v>
      </c>
      <c r="D715" s="126">
        <v>6363.78</v>
      </c>
      <c r="E715" s="126"/>
      <c r="F715" s="126"/>
      <c r="G715" s="126"/>
      <c r="H715" s="126">
        <v>7</v>
      </c>
      <c r="I715" s="126"/>
      <c r="J715" s="53" t="s">
        <v>613</v>
      </c>
      <c r="K715" s="54"/>
      <c r="L715" s="126">
        <f>SUM(L558,K715)</f>
        <v>5134.75</v>
      </c>
    </row>
    <row r="716" spans="1:12">
      <c r="A716" s="342"/>
      <c r="B716" s="126" t="s">
        <v>1488</v>
      </c>
      <c r="C716" s="126"/>
      <c r="D716" s="126">
        <v>1000</v>
      </c>
      <c r="E716" s="126"/>
      <c r="F716" s="126"/>
      <c r="G716" s="126"/>
      <c r="H716" s="126">
        <v>9</v>
      </c>
      <c r="I716" s="126"/>
      <c r="J716" s="55" t="s">
        <v>615</v>
      </c>
      <c r="K716" s="54">
        <f>SUM(G719,G720,G721,G722,G723,G724,G725,G726,G727)</f>
        <v>164213.35</v>
      </c>
      <c r="L716" s="126">
        <f t="shared" ref="L716:L727" si="8">SUM(L559,K716)</f>
        <v>192597.53</v>
      </c>
    </row>
    <row r="717" spans="1:12">
      <c r="A717" s="342"/>
      <c r="B717" s="342" t="s">
        <v>1450</v>
      </c>
      <c r="C717" s="342"/>
      <c r="D717" s="126">
        <v>1695</v>
      </c>
      <c r="E717" s="342"/>
      <c r="F717" s="342"/>
      <c r="G717" s="342"/>
      <c r="H717" s="342">
        <v>8</v>
      </c>
      <c r="I717" s="342"/>
      <c r="J717" s="56" t="s">
        <v>617</v>
      </c>
      <c r="K717" s="54">
        <f>SUM(C818)</f>
        <v>6500</v>
      </c>
      <c r="L717" s="126">
        <f t="shared" si="8"/>
        <v>58500</v>
      </c>
    </row>
    <row r="718" spans="1:12">
      <c r="A718" s="342"/>
      <c r="B718" s="342" t="s">
        <v>1439</v>
      </c>
      <c r="C718" s="342"/>
      <c r="D718" s="126">
        <v>760</v>
      </c>
      <c r="E718" s="342"/>
      <c r="F718" s="342"/>
      <c r="G718" s="342"/>
      <c r="H718" s="342">
        <v>8</v>
      </c>
      <c r="I718" s="342"/>
      <c r="J718" s="57" t="s">
        <v>619</v>
      </c>
      <c r="K718" s="54"/>
      <c r="L718" s="126">
        <f t="shared" si="8"/>
        <v>0</v>
      </c>
    </row>
    <row r="719" spans="1:12">
      <c r="A719" s="342"/>
      <c r="B719" s="342" t="s">
        <v>1489</v>
      </c>
      <c r="C719" s="342"/>
      <c r="D719" s="342"/>
      <c r="E719" s="342"/>
      <c r="F719" s="342"/>
      <c r="G719" s="126">
        <v>100</v>
      </c>
      <c r="H719" s="126">
        <v>2</v>
      </c>
      <c r="I719" s="126"/>
      <c r="J719" s="58" t="s">
        <v>621</v>
      </c>
      <c r="K719" s="54">
        <f>SUM(C721,C722)</f>
        <v>0</v>
      </c>
      <c r="L719" s="126">
        <f t="shared" si="8"/>
        <v>16700</v>
      </c>
    </row>
    <row r="720" spans="1:12">
      <c r="A720" s="342"/>
      <c r="B720" s="342" t="s">
        <v>1490</v>
      </c>
      <c r="C720" s="342"/>
      <c r="D720" s="342"/>
      <c r="E720" s="342"/>
      <c r="F720" s="342"/>
      <c r="G720" s="126">
        <v>130680</v>
      </c>
      <c r="H720" s="126">
        <v>2</v>
      </c>
      <c r="I720" s="126"/>
      <c r="J720" s="54" t="s">
        <v>623</v>
      </c>
      <c r="K720" s="54">
        <f>SUM(C817,D817)</f>
        <v>16500</v>
      </c>
      <c r="L720" s="126">
        <f t="shared" si="8"/>
        <v>148500</v>
      </c>
    </row>
    <row r="721" spans="1:12">
      <c r="A721" s="342"/>
      <c r="B721" s="342" t="s">
        <v>1491</v>
      </c>
      <c r="C721" s="342"/>
      <c r="D721" s="342"/>
      <c r="E721" s="342"/>
      <c r="F721" s="342"/>
      <c r="G721" s="126">
        <v>32670</v>
      </c>
      <c r="H721" s="126">
        <v>2</v>
      </c>
      <c r="I721" s="126"/>
      <c r="J721" s="54" t="s">
        <v>625</v>
      </c>
      <c r="K721" s="54">
        <f>SUM(C734)</f>
        <v>1500</v>
      </c>
      <c r="L721" s="126">
        <f t="shared" si="8"/>
        <v>6000</v>
      </c>
    </row>
    <row r="722" spans="1:12">
      <c r="A722" s="342"/>
      <c r="B722" s="342" t="s">
        <v>1492</v>
      </c>
      <c r="C722" s="342"/>
      <c r="D722" s="342"/>
      <c r="E722" s="342"/>
      <c r="F722" s="342"/>
      <c r="G722" s="126">
        <v>75</v>
      </c>
      <c r="H722" s="126">
        <v>2</v>
      </c>
      <c r="I722" s="126"/>
      <c r="J722" s="54" t="s">
        <v>627</v>
      </c>
      <c r="K722" s="54">
        <f>SUM(C796)</f>
        <v>760</v>
      </c>
      <c r="L722" s="126">
        <f t="shared" si="8"/>
        <v>6650</v>
      </c>
    </row>
    <row r="723" spans="1:12">
      <c r="A723" s="342"/>
      <c r="B723" s="342" t="s">
        <v>1493</v>
      </c>
      <c r="C723" s="342"/>
      <c r="D723" s="342"/>
      <c r="E723" s="342"/>
      <c r="F723" s="342"/>
      <c r="G723" s="126">
        <v>150</v>
      </c>
      <c r="H723" s="126">
        <v>2</v>
      </c>
      <c r="I723" s="126"/>
      <c r="J723" s="54" t="s">
        <v>629</v>
      </c>
      <c r="K723" s="54">
        <f>SUM(G714)</f>
        <v>20000</v>
      </c>
      <c r="L723" s="126">
        <f t="shared" si="8"/>
        <v>40000</v>
      </c>
    </row>
    <row r="724" spans="1:12">
      <c r="A724" s="342"/>
      <c r="B724" s="342" t="s">
        <v>1494</v>
      </c>
      <c r="C724" s="342"/>
      <c r="D724" s="342"/>
      <c r="E724" s="342"/>
      <c r="F724" s="342"/>
      <c r="G724" s="126">
        <v>82.5</v>
      </c>
      <c r="H724" s="126">
        <v>2</v>
      </c>
      <c r="I724" s="126"/>
      <c r="J724" s="54" t="s">
        <v>631</v>
      </c>
      <c r="K724" s="54">
        <f>SUM(C715,D715,C749,C747)</f>
        <v>18169.41</v>
      </c>
      <c r="L724" s="126">
        <f t="shared" si="8"/>
        <v>118132.65000000002</v>
      </c>
    </row>
    <row r="725" spans="1:12">
      <c r="A725" s="342"/>
      <c r="B725" s="342" t="s">
        <v>1495</v>
      </c>
      <c r="C725" s="342"/>
      <c r="D725" s="342"/>
      <c r="E725" s="342"/>
      <c r="F725" s="342"/>
      <c r="G725" s="126">
        <v>82.5</v>
      </c>
      <c r="H725" s="126">
        <v>2</v>
      </c>
      <c r="I725" s="126"/>
      <c r="J725" s="54" t="s">
        <v>634</v>
      </c>
      <c r="K725" s="54">
        <f>SUM(D708,D710,D711,C712,D713,D717,D718,D728:D733,D735,D737,D739:D741,C742,D743,D744:D746,D750:D756,D758:D760,D762:D764,C765,D766:D770,D774,D775,D777,D779:D788,D790:D793,D797,C798,D800:D807,D809:D811,D813:D816)</f>
        <v>232906.69000000003</v>
      </c>
      <c r="L725" s="126">
        <f t="shared" si="8"/>
        <v>678662.06</v>
      </c>
    </row>
    <row r="726" spans="1:12">
      <c r="A726" s="342"/>
      <c r="B726" s="342" t="s">
        <v>1496</v>
      </c>
      <c r="C726" s="342"/>
      <c r="D726" s="342"/>
      <c r="E726" s="342"/>
      <c r="F726" s="342"/>
      <c r="G726" s="126">
        <v>273.35000000000002</v>
      </c>
      <c r="H726" s="126">
        <v>2</v>
      </c>
      <c r="I726" s="126"/>
      <c r="J726" s="54" t="s">
        <v>636</v>
      </c>
      <c r="K726" s="63">
        <f>SUM(D716,D776,C795,D736)</f>
        <v>4700</v>
      </c>
      <c r="L726" s="126">
        <f t="shared" si="8"/>
        <v>21595.75</v>
      </c>
    </row>
    <row r="727" spans="1:12">
      <c r="A727" s="342"/>
      <c r="B727" s="342" t="s">
        <v>1497</v>
      </c>
      <c r="C727" s="342"/>
      <c r="D727" s="342"/>
      <c r="E727" s="342"/>
      <c r="F727" s="342"/>
      <c r="G727" s="126">
        <v>100</v>
      </c>
      <c r="H727" s="126">
        <v>2</v>
      </c>
      <c r="I727" s="126"/>
      <c r="J727" s="54" t="s">
        <v>638</v>
      </c>
      <c r="K727" s="54">
        <f>SUM(G709,D748,G757,D771:D773,D789,D794,G808)</f>
        <v>31603.25</v>
      </c>
      <c r="L727" s="126">
        <f t="shared" si="8"/>
        <v>997048.08</v>
      </c>
    </row>
    <row r="728" spans="1:12" ht="15.75" thickBot="1">
      <c r="A728" s="101">
        <v>45904</v>
      </c>
      <c r="B728" s="342" t="s">
        <v>1450</v>
      </c>
      <c r="C728" s="126"/>
      <c r="D728" s="126">
        <v>106</v>
      </c>
      <c r="E728" s="126"/>
      <c r="F728" s="126"/>
      <c r="G728" s="126"/>
      <c r="H728" s="126">
        <v>8</v>
      </c>
      <c r="I728" s="126"/>
      <c r="J728" s="172" t="s">
        <v>797</v>
      </c>
      <c r="K728" s="361">
        <f>SUM(K715:K727)</f>
        <v>496852.70000000007</v>
      </c>
      <c r="L728" s="358">
        <f>SUM(L715:L727)</f>
        <v>2289520.8200000003</v>
      </c>
    </row>
    <row r="729" spans="1:12" ht="15.75" thickTop="1">
      <c r="A729" s="342"/>
      <c r="B729" s="342" t="s">
        <v>1450</v>
      </c>
      <c r="C729" s="126"/>
      <c r="D729" s="126">
        <v>5380</v>
      </c>
      <c r="E729" s="126"/>
      <c r="F729" s="126"/>
      <c r="G729" s="126"/>
      <c r="H729" s="126">
        <v>8</v>
      </c>
      <c r="I729" s="126"/>
      <c r="J729" s="343"/>
      <c r="K729" s="362"/>
      <c r="L729" s="358">
        <f>SUM(L572,K728)</f>
        <v>2289520.8200000003</v>
      </c>
    </row>
    <row r="730" spans="1:12">
      <c r="A730" s="101">
        <v>45905</v>
      </c>
      <c r="B730" s="342" t="s">
        <v>1498</v>
      </c>
      <c r="C730" s="126"/>
      <c r="D730" s="126">
        <v>6000</v>
      </c>
      <c r="E730" s="126"/>
      <c r="F730" s="126"/>
      <c r="G730" s="126"/>
      <c r="H730" s="126">
        <v>8</v>
      </c>
      <c r="I730" s="126"/>
      <c r="J730" s="342"/>
    </row>
    <row r="731" spans="1:12">
      <c r="A731" s="342"/>
      <c r="B731" s="342" t="s">
        <v>1499</v>
      </c>
      <c r="C731" s="126"/>
      <c r="D731" s="126">
        <v>2000</v>
      </c>
      <c r="E731" s="126"/>
      <c r="F731" s="126"/>
      <c r="G731" s="126"/>
      <c r="H731" s="126">
        <v>8</v>
      </c>
      <c r="I731" s="126"/>
      <c r="J731" s="342"/>
    </row>
    <row r="732" spans="1:12">
      <c r="A732" s="342"/>
      <c r="B732" s="342" t="s">
        <v>1450</v>
      </c>
      <c r="C732" s="126"/>
      <c r="D732" s="126">
        <v>5185</v>
      </c>
      <c r="E732" s="126"/>
      <c r="F732" s="126"/>
      <c r="G732" s="126"/>
      <c r="H732" s="126">
        <v>8</v>
      </c>
      <c r="I732" s="126"/>
      <c r="J732" s="342"/>
    </row>
    <row r="733" spans="1:12">
      <c r="A733" s="342"/>
      <c r="B733" s="342" t="s">
        <v>1035</v>
      </c>
      <c r="C733" s="126"/>
      <c r="D733" s="126">
        <v>692.2</v>
      </c>
      <c r="E733" s="126"/>
      <c r="F733" s="126"/>
      <c r="G733" s="126"/>
      <c r="H733" s="126">
        <v>8</v>
      </c>
      <c r="I733" s="126"/>
      <c r="J733" s="342"/>
    </row>
    <row r="734" spans="1:12">
      <c r="A734" s="342"/>
      <c r="B734" s="342" t="s">
        <v>1500</v>
      </c>
      <c r="C734" s="126">
        <v>1500</v>
      </c>
      <c r="D734" s="126"/>
      <c r="E734" s="126"/>
      <c r="F734" s="126"/>
      <c r="G734" s="126"/>
      <c r="H734" s="126" t="s">
        <v>680</v>
      </c>
      <c r="I734" s="126"/>
      <c r="J734" s="342"/>
    </row>
    <row r="735" spans="1:12">
      <c r="A735" s="101">
        <v>45906</v>
      </c>
      <c r="B735" s="342" t="s">
        <v>1166</v>
      </c>
      <c r="C735" s="126"/>
      <c r="D735" s="126">
        <v>800</v>
      </c>
      <c r="E735" s="126"/>
      <c r="F735" s="126"/>
      <c r="G735" s="126"/>
      <c r="H735" s="126">
        <v>8</v>
      </c>
      <c r="I735" s="126"/>
      <c r="J735" s="342"/>
    </row>
    <row r="736" spans="1:12">
      <c r="A736" s="342"/>
      <c r="B736" s="342" t="s">
        <v>1413</v>
      </c>
      <c r="C736" s="126"/>
      <c r="D736" s="126">
        <v>1000</v>
      </c>
      <c r="E736" s="126"/>
      <c r="F736" s="126"/>
      <c r="G736" s="126"/>
      <c r="H736" s="126">
        <v>9</v>
      </c>
      <c r="I736" s="126"/>
      <c r="J736" s="342"/>
    </row>
    <row r="737" spans="1:10">
      <c r="A737" s="342"/>
      <c r="B737" s="342" t="s">
        <v>1501</v>
      </c>
      <c r="C737" s="126"/>
      <c r="D737" s="126">
        <v>425</v>
      </c>
      <c r="E737" s="126"/>
      <c r="F737" s="126"/>
      <c r="G737" s="126"/>
      <c r="H737" s="126">
        <v>8</v>
      </c>
      <c r="I737" s="126"/>
      <c r="J737" s="342"/>
    </row>
    <row r="738" spans="1:10">
      <c r="A738" s="342"/>
      <c r="B738" s="342" t="s">
        <v>1502</v>
      </c>
      <c r="C738" s="126"/>
      <c r="D738" s="126"/>
      <c r="E738" s="126"/>
      <c r="F738" s="126"/>
      <c r="G738" s="126"/>
      <c r="H738" s="126"/>
      <c r="I738" s="126"/>
      <c r="J738" s="342"/>
    </row>
    <row r="739" spans="1:10">
      <c r="A739" s="342"/>
      <c r="B739" s="342" t="s">
        <v>1474</v>
      </c>
      <c r="C739" s="126"/>
      <c r="D739" s="126">
        <v>4800</v>
      </c>
      <c r="E739" s="126"/>
      <c r="F739" s="126"/>
      <c r="G739" s="126"/>
      <c r="H739" s="126">
        <v>8</v>
      </c>
      <c r="I739" s="126"/>
      <c r="J739" s="342"/>
    </row>
    <row r="740" spans="1:10">
      <c r="A740" s="342"/>
      <c r="B740" s="342" t="s">
        <v>1457</v>
      </c>
      <c r="C740" s="126"/>
      <c r="D740" s="126">
        <v>4200</v>
      </c>
      <c r="E740" s="126"/>
      <c r="F740" s="126"/>
      <c r="G740" s="126"/>
      <c r="H740" s="126">
        <v>8</v>
      </c>
      <c r="I740" s="126"/>
      <c r="J740" s="342"/>
    </row>
    <row r="741" spans="1:10">
      <c r="A741" s="342"/>
      <c r="B741" s="342" t="s">
        <v>1458</v>
      </c>
      <c r="C741" s="126"/>
      <c r="D741" s="126">
        <v>700</v>
      </c>
      <c r="E741" s="126"/>
      <c r="F741" s="126"/>
      <c r="G741" s="126"/>
      <c r="H741" s="126">
        <v>8</v>
      </c>
      <c r="I741" s="126"/>
      <c r="J741" s="342"/>
    </row>
    <row r="742" spans="1:10">
      <c r="A742" s="342"/>
      <c r="B742" s="342" t="s">
        <v>1503</v>
      </c>
      <c r="C742" s="126">
        <v>3500</v>
      </c>
      <c r="D742" s="126"/>
      <c r="E742" s="126"/>
      <c r="F742" s="126"/>
      <c r="G742" s="126"/>
      <c r="H742" s="126">
        <v>8</v>
      </c>
      <c r="I742" s="126"/>
      <c r="J742" s="342"/>
    </row>
    <row r="743" spans="1:10">
      <c r="A743" s="342"/>
      <c r="B743" s="342" t="s">
        <v>1459</v>
      </c>
      <c r="C743" s="126"/>
      <c r="D743" s="126">
        <v>4200</v>
      </c>
      <c r="E743" s="126"/>
      <c r="F743" s="126"/>
      <c r="G743" s="126"/>
      <c r="H743" s="126">
        <v>8</v>
      </c>
      <c r="I743" s="126"/>
      <c r="J743" s="342"/>
    </row>
    <row r="744" spans="1:10">
      <c r="A744" s="342"/>
      <c r="B744" s="342" t="s">
        <v>1460</v>
      </c>
      <c r="C744" s="126"/>
      <c r="D744" s="126">
        <v>3600</v>
      </c>
      <c r="E744" s="126"/>
      <c r="F744" s="126"/>
      <c r="G744" s="126"/>
      <c r="H744" s="126">
        <v>8</v>
      </c>
      <c r="I744" s="126"/>
      <c r="J744" s="342"/>
    </row>
    <row r="745" spans="1:10">
      <c r="A745" s="342"/>
      <c r="B745" s="342" t="s">
        <v>1461</v>
      </c>
      <c r="C745" s="342"/>
      <c r="D745" s="126">
        <v>3600</v>
      </c>
      <c r="E745" s="342"/>
      <c r="F745" s="342"/>
      <c r="G745" s="126"/>
      <c r="H745" s="126">
        <v>8</v>
      </c>
      <c r="I745" s="126"/>
      <c r="J745" s="342"/>
    </row>
    <row r="746" spans="1:10">
      <c r="A746" s="342"/>
      <c r="B746" s="342" t="s">
        <v>1504</v>
      </c>
      <c r="C746" s="126"/>
      <c r="D746" s="126">
        <v>3500</v>
      </c>
      <c r="E746" s="126"/>
      <c r="F746" s="126"/>
      <c r="G746" s="126"/>
      <c r="H746" s="126">
        <v>8</v>
      </c>
      <c r="I746" s="126"/>
      <c r="J746" s="126"/>
    </row>
    <row r="747" spans="1:10">
      <c r="A747" s="342"/>
      <c r="B747" s="342" t="s">
        <v>1505</v>
      </c>
      <c r="C747" s="126">
        <v>1500</v>
      </c>
      <c r="D747" s="126"/>
      <c r="E747" s="126"/>
      <c r="F747" s="126"/>
      <c r="G747" s="126"/>
      <c r="H747" s="126">
        <v>7</v>
      </c>
      <c r="I747" s="126"/>
      <c r="J747" s="126"/>
    </row>
    <row r="748" spans="1:10">
      <c r="A748" s="101">
        <v>45907</v>
      </c>
      <c r="B748" s="342" t="s">
        <v>841</v>
      </c>
      <c r="C748" s="126"/>
      <c r="D748" s="126">
        <v>1271.5999999999999</v>
      </c>
      <c r="E748" s="126"/>
      <c r="F748" s="126"/>
      <c r="G748" s="126"/>
      <c r="H748" s="126">
        <v>10</v>
      </c>
      <c r="I748" s="126"/>
      <c r="J748" s="126"/>
    </row>
    <row r="749" spans="1:10">
      <c r="A749" s="342"/>
      <c r="B749" s="342" t="s">
        <v>1506</v>
      </c>
      <c r="C749" s="126">
        <v>714</v>
      </c>
      <c r="D749" s="126"/>
      <c r="E749" s="126"/>
      <c r="F749" s="126"/>
      <c r="G749" s="126"/>
      <c r="H749" s="126">
        <v>7</v>
      </c>
      <c r="I749" s="126"/>
      <c r="J749" s="126"/>
    </row>
    <row r="750" spans="1:10">
      <c r="A750" s="342"/>
      <c r="B750" s="342" t="s">
        <v>1507</v>
      </c>
      <c r="C750" s="126"/>
      <c r="D750" s="126">
        <v>3000</v>
      </c>
      <c r="E750" s="126"/>
      <c r="F750" s="126"/>
      <c r="G750" s="126"/>
      <c r="H750" s="126">
        <v>8</v>
      </c>
      <c r="I750" s="126"/>
      <c r="J750" s="126"/>
    </row>
    <row r="751" spans="1:10">
      <c r="A751" s="101">
        <v>45909</v>
      </c>
      <c r="B751" s="342" t="s">
        <v>1035</v>
      </c>
      <c r="C751" s="126"/>
      <c r="D751" s="126">
        <v>2427.5</v>
      </c>
      <c r="E751" s="126"/>
      <c r="F751" s="126"/>
      <c r="G751" s="126"/>
      <c r="H751" s="126">
        <v>8</v>
      </c>
      <c r="I751" s="126"/>
      <c r="J751" s="126"/>
    </row>
    <row r="752" spans="1:10">
      <c r="A752" s="342"/>
      <c r="B752" s="342" t="s">
        <v>1035</v>
      </c>
      <c r="C752" s="126"/>
      <c r="D752" s="126">
        <v>1050</v>
      </c>
      <c r="E752" s="126"/>
      <c r="F752" s="126"/>
      <c r="G752" s="126"/>
      <c r="H752" s="126">
        <v>8</v>
      </c>
      <c r="I752" s="126"/>
      <c r="J752" s="126"/>
    </row>
    <row r="753" spans="1:10">
      <c r="A753" s="101">
        <v>45910</v>
      </c>
      <c r="B753" s="342" t="s">
        <v>640</v>
      </c>
      <c r="C753" s="126"/>
      <c r="D753" s="126">
        <v>3282</v>
      </c>
      <c r="E753" s="126"/>
      <c r="F753" s="126"/>
      <c r="G753" s="126"/>
      <c r="H753" s="126">
        <v>8</v>
      </c>
      <c r="I753" s="126"/>
      <c r="J753" s="126"/>
    </row>
    <row r="754" spans="1:10">
      <c r="A754" s="101">
        <v>45911</v>
      </c>
      <c r="B754" s="342" t="s">
        <v>1035</v>
      </c>
      <c r="C754" s="126"/>
      <c r="D754" s="126">
        <v>6708.5</v>
      </c>
      <c r="E754" s="126"/>
      <c r="F754" s="126"/>
      <c r="G754" s="126"/>
      <c r="H754" s="126">
        <v>8</v>
      </c>
      <c r="I754" s="126"/>
      <c r="J754" s="126"/>
    </row>
    <row r="755" spans="1:10">
      <c r="A755" s="342"/>
      <c r="B755" s="342" t="s">
        <v>1450</v>
      </c>
      <c r="C755" s="126"/>
      <c r="D755" s="126">
        <v>11350</v>
      </c>
      <c r="E755" s="126"/>
      <c r="F755" s="126"/>
      <c r="G755" s="126"/>
      <c r="H755" s="126">
        <v>8</v>
      </c>
      <c r="I755" s="126"/>
      <c r="J755" s="126"/>
    </row>
    <row r="756" spans="1:10">
      <c r="A756" s="342"/>
      <c r="B756" s="342" t="s">
        <v>1508</v>
      </c>
      <c r="C756" s="126"/>
      <c r="D756" s="126">
        <v>350</v>
      </c>
      <c r="E756" s="126"/>
      <c r="F756" s="126"/>
      <c r="G756" s="126"/>
      <c r="H756" s="126">
        <v>8</v>
      </c>
      <c r="I756" s="126"/>
      <c r="J756" s="126"/>
    </row>
    <row r="757" spans="1:10">
      <c r="A757" s="101">
        <v>45912</v>
      </c>
      <c r="B757" s="342" t="s">
        <v>1509</v>
      </c>
      <c r="C757" s="126"/>
      <c r="D757" s="126"/>
      <c r="E757" s="126"/>
      <c r="F757" s="126"/>
      <c r="G757" s="126">
        <v>12435.6</v>
      </c>
      <c r="H757" s="126">
        <v>10</v>
      </c>
      <c r="I757" s="126"/>
      <c r="J757" s="126"/>
    </row>
    <row r="758" spans="1:10">
      <c r="A758" s="342"/>
      <c r="B758" s="342" t="s">
        <v>1437</v>
      </c>
      <c r="C758" s="126"/>
      <c r="D758" s="126">
        <v>90</v>
      </c>
      <c r="E758" s="126"/>
      <c r="F758" s="126"/>
      <c r="G758" s="126"/>
      <c r="H758" s="126">
        <v>8</v>
      </c>
      <c r="I758" s="342"/>
      <c r="J758" s="342"/>
    </row>
    <row r="759" spans="1:10">
      <c r="A759" s="342"/>
      <c r="B759" s="342" t="s">
        <v>1510</v>
      </c>
      <c r="C759" s="126"/>
      <c r="D759" s="126">
        <v>2500</v>
      </c>
      <c r="E759" s="126"/>
      <c r="F759" s="126"/>
      <c r="G759" s="126"/>
      <c r="H759" s="126">
        <v>8</v>
      </c>
      <c r="I759" s="342"/>
      <c r="J759" s="342"/>
    </row>
    <row r="760" spans="1:10">
      <c r="A760" s="342"/>
      <c r="B760" s="342" t="s">
        <v>1511</v>
      </c>
      <c r="C760" s="126"/>
      <c r="D760" s="126">
        <v>280</v>
      </c>
      <c r="E760" s="126"/>
      <c r="F760" s="126"/>
      <c r="G760" s="126"/>
      <c r="H760" s="126">
        <v>8</v>
      </c>
      <c r="I760" s="342"/>
      <c r="J760" s="342"/>
    </row>
    <row r="761" spans="1:10">
      <c r="A761" s="101">
        <v>45913</v>
      </c>
      <c r="B761" s="342" t="s">
        <v>1512</v>
      </c>
      <c r="C761" s="126"/>
      <c r="D761" s="126"/>
      <c r="E761" s="126"/>
      <c r="F761" s="126"/>
      <c r="G761" s="126"/>
      <c r="H761" s="126"/>
      <c r="I761" s="342"/>
      <c r="J761" s="342"/>
    </row>
    <row r="762" spans="1:10">
      <c r="A762" s="342"/>
      <c r="B762" s="342" t="s">
        <v>1474</v>
      </c>
      <c r="C762" s="126"/>
      <c r="D762" s="126">
        <v>3200</v>
      </c>
      <c r="E762" s="126"/>
      <c r="F762" s="126"/>
      <c r="G762" s="126"/>
      <c r="H762" s="126">
        <v>8</v>
      </c>
      <c r="I762" s="342"/>
      <c r="J762" s="342"/>
    </row>
    <row r="763" spans="1:10">
      <c r="A763" s="342"/>
      <c r="B763" s="342" t="s">
        <v>1457</v>
      </c>
      <c r="C763" s="126"/>
      <c r="D763" s="126">
        <v>2800</v>
      </c>
      <c r="E763" s="126"/>
      <c r="F763" s="126"/>
      <c r="G763" s="126"/>
      <c r="H763" s="126">
        <v>8</v>
      </c>
      <c r="I763" s="342"/>
      <c r="J763" s="342"/>
    </row>
    <row r="764" spans="1:10">
      <c r="A764" s="342"/>
      <c r="B764" s="342" t="s">
        <v>1458</v>
      </c>
      <c r="C764" s="126"/>
      <c r="D764" s="126">
        <v>700</v>
      </c>
      <c r="E764" s="126"/>
      <c r="F764" s="126"/>
      <c r="G764" s="126"/>
      <c r="H764" s="126">
        <v>8</v>
      </c>
      <c r="I764" s="342"/>
      <c r="J764" s="342"/>
    </row>
    <row r="765" spans="1:10">
      <c r="A765" s="342"/>
      <c r="B765" s="342" t="s">
        <v>1513</v>
      </c>
      <c r="C765" s="126">
        <v>2800</v>
      </c>
      <c r="D765" s="126"/>
      <c r="E765" s="126"/>
      <c r="F765" s="126"/>
      <c r="G765" s="126"/>
      <c r="H765" s="126">
        <v>8</v>
      </c>
      <c r="I765" s="342"/>
      <c r="J765" s="342"/>
    </row>
    <row r="766" spans="1:10">
      <c r="A766" s="342"/>
      <c r="B766" s="342" t="s">
        <v>1459</v>
      </c>
      <c r="C766" s="126"/>
      <c r="D766" s="126">
        <v>2800</v>
      </c>
      <c r="E766" s="126"/>
      <c r="F766" s="126"/>
      <c r="G766" s="126"/>
      <c r="H766" s="126">
        <v>8</v>
      </c>
      <c r="I766" s="342"/>
      <c r="J766" s="342"/>
    </row>
    <row r="767" spans="1:10">
      <c r="A767" s="342"/>
      <c r="B767" s="342" t="s">
        <v>1460</v>
      </c>
      <c r="C767" s="126"/>
      <c r="D767" s="126">
        <v>2400</v>
      </c>
      <c r="E767" s="126"/>
      <c r="F767" s="126"/>
      <c r="G767" s="126"/>
      <c r="H767" s="126">
        <v>8</v>
      </c>
      <c r="I767" s="342"/>
      <c r="J767" s="342"/>
    </row>
    <row r="768" spans="1:10">
      <c r="A768" s="342"/>
      <c r="B768" s="342" t="s">
        <v>1461</v>
      </c>
      <c r="C768" s="126"/>
      <c r="D768" s="126">
        <v>2400</v>
      </c>
      <c r="E768" s="126"/>
      <c r="F768" s="126"/>
      <c r="G768" s="126"/>
      <c r="H768" s="126">
        <v>8</v>
      </c>
      <c r="I768" s="342"/>
      <c r="J768" s="342"/>
    </row>
    <row r="769" spans="1:10">
      <c r="A769" s="342"/>
      <c r="B769" s="342" t="s">
        <v>1514</v>
      </c>
      <c r="C769" s="126"/>
      <c r="D769" s="126">
        <v>1800</v>
      </c>
      <c r="E769" s="126"/>
      <c r="F769" s="126"/>
      <c r="G769" s="126"/>
      <c r="H769" s="126">
        <v>8</v>
      </c>
      <c r="I769" s="342"/>
      <c r="J769" s="342"/>
    </row>
    <row r="770" spans="1:10">
      <c r="A770" s="342"/>
      <c r="B770" s="342" t="s">
        <v>1515</v>
      </c>
      <c r="C770" s="126"/>
      <c r="D770" s="126">
        <v>2500</v>
      </c>
      <c r="E770" s="126"/>
      <c r="F770" s="126"/>
      <c r="G770" s="126"/>
      <c r="H770" s="126">
        <v>8</v>
      </c>
      <c r="I770" s="342"/>
      <c r="J770" s="342"/>
    </row>
    <row r="771" spans="1:10">
      <c r="A771" s="101">
        <v>45914</v>
      </c>
      <c r="B771" s="342" t="s">
        <v>1516</v>
      </c>
      <c r="C771" s="126"/>
      <c r="D771" s="126">
        <v>3000</v>
      </c>
      <c r="E771" s="126"/>
      <c r="F771" s="126"/>
      <c r="G771" s="126"/>
      <c r="H771" s="126">
        <v>10</v>
      </c>
      <c r="I771" s="126"/>
      <c r="J771" s="342"/>
    </row>
    <row r="772" spans="1:10">
      <c r="A772" s="101">
        <v>45915</v>
      </c>
      <c r="B772" s="342" t="s">
        <v>1517</v>
      </c>
      <c r="C772" s="126"/>
      <c r="D772" s="126">
        <v>2100</v>
      </c>
      <c r="E772" s="126"/>
      <c r="F772" s="126"/>
      <c r="G772" s="126"/>
      <c r="H772" s="126">
        <v>10</v>
      </c>
      <c r="I772" s="126"/>
      <c r="J772" s="342"/>
    </row>
    <row r="773" spans="1:10">
      <c r="A773" s="342"/>
      <c r="B773" s="342" t="s">
        <v>1516</v>
      </c>
      <c r="C773" s="126"/>
      <c r="D773" s="126">
        <v>2500</v>
      </c>
      <c r="E773" s="126"/>
      <c r="F773" s="126"/>
      <c r="G773" s="126"/>
      <c r="H773" s="126">
        <v>10</v>
      </c>
      <c r="I773" s="126"/>
      <c r="J773" s="342"/>
    </row>
    <row r="774" spans="1:10">
      <c r="A774" s="101">
        <v>45919</v>
      </c>
      <c r="B774" s="342" t="s">
        <v>1518</v>
      </c>
      <c r="C774" s="126"/>
      <c r="D774" s="126">
        <v>2090</v>
      </c>
      <c r="E774" s="126"/>
      <c r="F774" s="126"/>
      <c r="G774" s="126"/>
      <c r="H774" s="126">
        <v>8</v>
      </c>
      <c r="I774" s="126"/>
      <c r="J774" s="342"/>
    </row>
    <row r="775" spans="1:10">
      <c r="A775" s="342"/>
      <c r="B775" s="342" t="s">
        <v>1450</v>
      </c>
      <c r="C775" s="126"/>
      <c r="D775" s="126">
        <v>595</v>
      </c>
      <c r="E775" s="126"/>
      <c r="F775" s="126"/>
      <c r="G775" s="126"/>
      <c r="H775" s="126">
        <v>8</v>
      </c>
      <c r="I775" s="126"/>
      <c r="J775" s="342"/>
    </row>
    <row r="776" spans="1:10">
      <c r="A776" s="342"/>
      <c r="B776" s="342" t="s">
        <v>1519</v>
      </c>
      <c r="C776" s="126"/>
      <c r="D776" s="126">
        <v>1000</v>
      </c>
      <c r="E776" s="126"/>
      <c r="F776" s="126"/>
      <c r="G776" s="126"/>
      <c r="H776" s="126">
        <v>9</v>
      </c>
      <c r="I776" s="126"/>
      <c r="J776" s="342"/>
    </row>
    <row r="777" spans="1:10">
      <c r="A777" s="342"/>
      <c r="B777" s="342" t="s">
        <v>1520</v>
      </c>
      <c r="C777" s="126"/>
      <c r="D777" s="126">
        <v>495</v>
      </c>
      <c r="E777" s="126"/>
      <c r="F777" s="126"/>
      <c r="G777" s="126"/>
      <c r="H777" s="126">
        <v>8</v>
      </c>
      <c r="I777" s="126"/>
      <c r="J777" s="342"/>
    </row>
    <row r="778" spans="1:10">
      <c r="A778" s="101">
        <v>45920</v>
      </c>
      <c r="B778" s="342" t="s">
        <v>1521</v>
      </c>
      <c r="C778" s="126"/>
      <c r="D778" s="126"/>
      <c r="E778" s="126"/>
      <c r="F778" s="126"/>
      <c r="G778" s="126"/>
      <c r="H778" s="126"/>
      <c r="I778" s="126"/>
      <c r="J778" s="342"/>
    </row>
    <row r="779" spans="1:10">
      <c r="A779" s="342"/>
      <c r="B779" s="342" t="s">
        <v>1474</v>
      </c>
      <c r="C779" s="126"/>
      <c r="D779" s="126">
        <v>3600</v>
      </c>
      <c r="E779" s="126"/>
      <c r="F779" s="126"/>
      <c r="G779" s="126"/>
      <c r="H779" s="126">
        <v>8</v>
      </c>
      <c r="I779" s="126"/>
      <c r="J779" s="342"/>
    </row>
    <row r="780" spans="1:10">
      <c r="A780" s="342"/>
      <c r="B780" s="342" t="s">
        <v>1457</v>
      </c>
      <c r="C780" s="126"/>
      <c r="D780" s="126">
        <v>3850</v>
      </c>
      <c r="E780" s="126"/>
      <c r="F780" s="126"/>
      <c r="G780" s="126"/>
      <c r="H780" s="126">
        <v>8</v>
      </c>
      <c r="I780" s="342"/>
      <c r="J780" s="342"/>
    </row>
    <row r="781" spans="1:10">
      <c r="A781" s="342"/>
      <c r="B781" s="342" t="s">
        <v>1458</v>
      </c>
      <c r="C781" s="126"/>
      <c r="D781" s="126">
        <v>3850</v>
      </c>
      <c r="E781" s="126"/>
      <c r="F781" s="126"/>
      <c r="G781" s="126"/>
      <c r="H781" s="126">
        <v>8</v>
      </c>
      <c r="I781" s="342"/>
      <c r="J781" s="342"/>
    </row>
    <row r="782" spans="1:10">
      <c r="A782" s="342"/>
      <c r="B782" s="342" t="s">
        <v>1459</v>
      </c>
      <c r="C782" s="126"/>
      <c r="D782" s="126">
        <v>3850</v>
      </c>
      <c r="E782" s="126"/>
      <c r="F782" s="126"/>
      <c r="G782" s="126"/>
      <c r="H782" s="126">
        <v>8</v>
      </c>
      <c r="I782" s="342"/>
      <c r="J782" s="342"/>
    </row>
    <row r="783" spans="1:10">
      <c r="A783" s="342"/>
      <c r="B783" s="342" t="s">
        <v>1460</v>
      </c>
      <c r="C783" s="126"/>
      <c r="D783" s="126">
        <v>3300</v>
      </c>
      <c r="E783" s="126"/>
      <c r="F783" s="126"/>
      <c r="G783" s="126"/>
      <c r="H783" s="126">
        <v>8</v>
      </c>
      <c r="I783" s="342"/>
      <c r="J783" s="342"/>
    </row>
    <row r="784" spans="1:10">
      <c r="A784" s="342"/>
      <c r="B784" s="342" t="s">
        <v>1461</v>
      </c>
      <c r="C784" s="126"/>
      <c r="D784" s="126">
        <v>3300</v>
      </c>
      <c r="E784" s="126"/>
      <c r="F784" s="126"/>
      <c r="G784" s="126"/>
      <c r="H784" s="126">
        <v>8</v>
      </c>
      <c r="I784" s="342"/>
      <c r="J784" s="342"/>
    </row>
    <row r="785" spans="1:10">
      <c r="A785" s="342"/>
      <c r="B785" s="342" t="s">
        <v>1514</v>
      </c>
      <c r="C785" s="126"/>
      <c r="D785" s="126">
        <v>3300</v>
      </c>
      <c r="E785" s="126"/>
      <c r="F785" s="126"/>
      <c r="G785" s="126"/>
      <c r="H785" s="126">
        <v>8</v>
      </c>
      <c r="I785" s="342"/>
      <c r="J785" s="342"/>
    </row>
    <row r="786" spans="1:10">
      <c r="A786" s="342"/>
      <c r="B786" s="342" t="s">
        <v>1522</v>
      </c>
      <c r="C786" s="126"/>
      <c r="D786" s="126">
        <v>7000</v>
      </c>
      <c r="E786" s="126"/>
      <c r="F786" s="126"/>
      <c r="G786" s="126"/>
      <c r="H786" s="126">
        <v>8</v>
      </c>
      <c r="I786" s="342"/>
      <c r="J786" s="342"/>
    </row>
    <row r="787" spans="1:10">
      <c r="A787" s="342"/>
      <c r="B787" s="342" t="s">
        <v>1450</v>
      </c>
      <c r="C787" s="126"/>
      <c r="D787" s="126">
        <v>1950</v>
      </c>
      <c r="E787" s="126"/>
      <c r="F787" s="126"/>
      <c r="G787" s="126"/>
      <c r="H787" s="126">
        <v>8</v>
      </c>
      <c r="I787" s="342"/>
      <c r="J787" s="342"/>
    </row>
    <row r="788" spans="1:10">
      <c r="A788" s="342"/>
      <c r="B788" s="342" t="s">
        <v>1437</v>
      </c>
      <c r="C788" s="126"/>
      <c r="D788" s="126">
        <v>190</v>
      </c>
      <c r="E788" s="126"/>
      <c r="F788" s="126"/>
      <c r="G788" s="126"/>
      <c r="H788" s="126">
        <v>8</v>
      </c>
      <c r="I788" s="342"/>
      <c r="J788" s="342"/>
    </row>
    <row r="789" spans="1:10">
      <c r="A789" s="101">
        <v>45921</v>
      </c>
      <c r="B789" s="342" t="s">
        <v>1523</v>
      </c>
      <c r="C789" s="126"/>
      <c r="D789" s="126">
        <v>1950</v>
      </c>
      <c r="E789" s="126"/>
      <c r="F789" s="126"/>
      <c r="G789" s="126"/>
      <c r="H789" s="126">
        <v>10</v>
      </c>
      <c r="I789" s="342"/>
      <c r="J789" s="342"/>
    </row>
    <row r="790" spans="1:10">
      <c r="A790" s="342"/>
      <c r="B790" s="342" t="s">
        <v>1524</v>
      </c>
      <c r="C790" s="126"/>
      <c r="D790" s="126">
        <v>1000</v>
      </c>
      <c r="E790" s="126"/>
      <c r="F790" s="126"/>
      <c r="G790" s="126"/>
      <c r="H790" s="126">
        <v>8</v>
      </c>
      <c r="I790" s="342"/>
      <c r="J790" s="342"/>
    </row>
    <row r="791" spans="1:10">
      <c r="A791" s="101">
        <v>45923</v>
      </c>
      <c r="B791" s="342" t="s">
        <v>1450</v>
      </c>
      <c r="C791" s="126"/>
      <c r="D791" s="126">
        <v>350</v>
      </c>
      <c r="E791" s="126"/>
      <c r="F791" s="126"/>
      <c r="G791" s="126"/>
      <c r="H791" s="126">
        <v>8</v>
      </c>
      <c r="I791" s="342"/>
      <c r="J791" s="342"/>
    </row>
    <row r="792" spans="1:10">
      <c r="A792" s="342"/>
      <c r="B792" s="342" t="s">
        <v>1450</v>
      </c>
      <c r="C792" s="126"/>
      <c r="D792" s="126">
        <v>9450</v>
      </c>
      <c r="E792" s="126"/>
      <c r="F792" s="126"/>
      <c r="G792" s="126"/>
      <c r="H792" s="126">
        <v>8</v>
      </c>
      <c r="I792" s="342"/>
      <c r="J792" s="342"/>
    </row>
    <row r="793" spans="1:10">
      <c r="A793" s="342"/>
      <c r="B793" s="342" t="s">
        <v>1525</v>
      </c>
      <c r="C793" s="126"/>
      <c r="D793" s="126">
        <v>450</v>
      </c>
      <c r="E793" s="126"/>
      <c r="F793" s="126"/>
      <c r="G793" s="126"/>
      <c r="H793" s="126">
        <v>8</v>
      </c>
      <c r="I793" s="342"/>
      <c r="J793" s="342"/>
    </row>
    <row r="794" spans="1:10">
      <c r="A794" s="342"/>
      <c r="B794" s="342" t="s">
        <v>1406</v>
      </c>
      <c r="C794" s="126"/>
      <c r="D794" s="126">
        <v>546.04999999999995</v>
      </c>
      <c r="E794" s="126"/>
      <c r="F794" s="126"/>
      <c r="G794" s="126"/>
      <c r="H794" s="126">
        <v>10</v>
      </c>
      <c r="I794" s="342"/>
      <c r="J794" s="342"/>
    </row>
    <row r="795" spans="1:10">
      <c r="A795" s="101">
        <v>45925</v>
      </c>
      <c r="B795" s="342" t="s">
        <v>1526</v>
      </c>
      <c r="C795" s="126">
        <v>1700</v>
      </c>
      <c r="D795" s="126"/>
      <c r="E795" s="126"/>
      <c r="F795" s="126"/>
      <c r="G795" s="126"/>
      <c r="H795" s="126">
        <v>9</v>
      </c>
      <c r="I795" s="342"/>
      <c r="J795" s="342"/>
    </row>
    <row r="796" spans="1:10">
      <c r="A796" s="342"/>
      <c r="B796" s="342" t="s">
        <v>1527</v>
      </c>
      <c r="C796" s="126">
        <v>760</v>
      </c>
      <c r="D796" s="126"/>
      <c r="E796" s="126"/>
      <c r="F796" s="126"/>
      <c r="G796" s="126"/>
      <c r="H796" s="126" t="s">
        <v>648</v>
      </c>
      <c r="I796" s="342"/>
      <c r="J796" s="342"/>
    </row>
    <row r="797" spans="1:10">
      <c r="A797" s="101">
        <v>45927</v>
      </c>
      <c r="B797" s="342" t="s">
        <v>1450</v>
      </c>
      <c r="C797" s="126"/>
      <c r="D797" s="126">
        <v>7135</v>
      </c>
      <c r="E797" s="126"/>
      <c r="F797" s="126"/>
      <c r="G797" s="126"/>
      <c r="H797" s="126">
        <v>8</v>
      </c>
      <c r="I797" s="342"/>
      <c r="J797" s="342"/>
    </row>
    <row r="798" spans="1:10">
      <c r="A798" s="342"/>
      <c r="B798" s="342" t="s">
        <v>1528</v>
      </c>
      <c r="C798" s="126">
        <v>1600</v>
      </c>
      <c r="D798" s="126"/>
      <c r="E798" s="126"/>
      <c r="F798" s="126"/>
      <c r="G798" s="126"/>
      <c r="H798" s="126">
        <v>8</v>
      </c>
      <c r="I798" s="342"/>
      <c r="J798" s="342"/>
    </row>
    <row r="799" spans="1:10">
      <c r="A799" s="342"/>
      <c r="B799" s="342" t="s">
        <v>1529</v>
      </c>
      <c r="C799" s="342"/>
      <c r="D799" s="342"/>
      <c r="E799" s="342"/>
      <c r="F799" s="342"/>
      <c r="G799" s="342"/>
      <c r="H799" s="342"/>
      <c r="I799" s="342"/>
      <c r="J799" s="342"/>
    </row>
    <row r="800" spans="1:10">
      <c r="A800" s="342"/>
      <c r="B800" s="342" t="s">
        <v>1474</v>
      </c>
      <c r="C800" s="126"/>
      <c r="D800" s="126">
        <v>2400</v>
      </c>
      <c r="E800" s="126"/>
      <c r="F800" s="126"/>
      <c r="G800" s="126"/>
      <c r="H800" s="126">
        <v>8</v>
      </c>
      <c r="I800" s="126"/>
      <c r="J800" s="126"/>
    </row>
    <row r="801" spans="1:10">
      <c r="A801" s="342"/>
      <c r="B801" s="342" t="s">
        <v>1457</v>
      </c>
      <c r="C801" s="126"/>
      <c r="D801" s="126">
        <v>2450</v>
      </c>
      <c r="E801" s="126"/>
      <c r="F801" s="126"/>
      <c r="G801" s="126"/>
      <c r="H801" s="126">
        <v>8</v>
      </c>
      <c r="I801" s="126"/>
      <c r="J801" s="126"/>
    </row>
    <row r="802" spans="1:10">
      <c r="A802" s="342"/>
      <c r="B802" s="342" t="s">
        <v>1458</v>
      </c>
      <c r="C802" s="126"/>
      <c r="D802" s="126">
        <v>2100</v>
      </c>
      <c r="E802" s="126"/>
      <c r="F802" s="126"/>
      <c r="G802" s="126"/>
      <c r="H802" s="126">
        <v>8</v>
      </c>
      <c r="I802" s="126"/>
      <c r="J802" s="126"/>
    </row>
    <row r="803" spans="1:10">
      <c r="A803" s="342"/>
      <c r="B803" s="342" t="s">
        <v>1459</v>
      </c>
      <c r="C803" s="126"/>
      <c r="D803" s="126">
        <v>2100</v>
      </c>
      <c r="E803" s="126"/>
      <c r="F803" s="126"/>
      <c r="G803" s="126"/>
      <c r="H803" s="126">
        <v>8</v>
      </c>
      <c r="I803" s="126"/>
      <c r="J803" s="126"/>
    </row>
    <row r="804" spans="1:10">
      <c r="A804" s="342"/>
      <c r="B804" s="342" t="s">
        <v>1530</v>
      </c>
      <c r="C804" s="126"/>
      <c r="D804" s="126">
        <v>2100</v>
      </c>
      <c r="E804" s="126"/>
      <c r="F804" s="126"/>
      <c r="G804" s="126"/>
      <c r="H804" s="126">
        <v>8</v>
      </c>
      <c r="I804" s="126"/>
      <c r="J804" s="126"/>
    </row>
    <row r="805" spans="1:10">
      <c r="A805" s="342"/>
      <c r="B805" s="342" t="s">
        <v>1514</v>
      </c>
      <c r="C805" s="126"/>
      <c r="D805" s="126">
        <v>1200</v>
      </c>
      <c r="E805" s="126"/>
      <c r="F805" s="126"/>
      <c r="G805" s="126"/>
      <c r="H805" s="126">
        <v>8</v>
      </c>
      <c r="I805" s="126"/>
      <c r="J805" s="126"/>
    </row>
    <row r="806" spans="1:10">
      <c r="A806" s="342"/>
      <c r="B806" s="342" t="s">
        <v>1460</v>
      </c>
      <c r="C806" s="126"/>
      <c r="D806" s="126">
        <v>1800</v>
      </c>
      <c r="E806" s="126"/>
      <c r="F806" s="126"/>
      <c r="G806" s="126"/>
      <c r="H806" s="126">
        <v>8</v>
      </c>
      <c r="I806" s="126"/>
      <c r="J806" s="126"/>
    </row>
    <row r="807" spans="1:10">
      <c r="A807" s="342"/>
      <c r="B807" s="342" t="s">
        <v>1461</v>
      </c>
      <c r="C807" s="126"/>
      <c r="D807" s="126">
        <v>2100</v>
      </c>
      <c r="E807" s="126"/>
      <c r="F807" s="126"/>
      <c r="G807" s="126"/>
      <c r="H807" s="126">
        <v>8</v>
      </c>
      <c r="I807" s="126"/>
      <c r="J807" s="126"/>
    </row>
    <row r="808" spans="1:10">
      <c r="A808" s="101">
        <v>45928</v>
      </c>
      <c r="B808" s="342" t="s">
        <v>1531</v>
      </c>
      <c r="C808" s="126"/>
      <c r="D808" s="126"/>
      <c r="E808" s="126"/>
      <c r="F808" s="126"/>
      <c r="G808" s="126">
        <v>3300</v>
      </c>
      <c r="H808" s="126">
        <v>10</v>
      </c>
      <c r="I808" s="126"/>
      <c r="J808" s="126"/>
    </row>
    <row r="809" spans="1:10">
      <c r="A809" s="101">
        <v>45929</v>
      </c>
      <c r="B809" s="342" t="s">
        <v>1450</v>
      </c>
      <c r="C809" s="126"/>
      <c r="D809" s="126">
        <v>3955</v>
      </c>
      <c r="E809" s="126"/>
      <c r="F809" s="126"/>
      <c r="G809" s="126"/>
      <c r="H809" s="126">
        <v>8</v>
      </c>
      <c r="I809" s="126"/>
      <c r="J809" s="126"/>
    </row>
    <row r="810" spans="1:10">
      <c r="A810" s="342"/>
      <c r="B810" s="342" t="s">
        <v>1035</v>
      </c>
      <c r="C810" s="126"/>
      <c r="D810" s="126">
        <v>800</v>
      </c>
      <c r="E810" s="126"/>
      <c r="F810" s="126"/>
      <c r="G810" s="126"/>
      <c r="H810" s="126">
        <v>8</v>
      </c>
      <c r="I810" s="126"/>
      <c r="J810" s="126"/>
    </row>
    <row r="811" spans="1:10">
      <c r="A811" s="342"/>
      <c r="B811" s="342" t="s">
        <v>1035</v>
      </c>
      <c r="C811" s="126"/>
      <c r="D811" s="126">
        <v>5072</v>
      </c>
      <c r="E811" s="126"/>
      <c r="F811" s="126"/>
      <c r="G811" s="126"/>
      <c r="H811" s="126">
        <v>8</v>
      </c>
      <c r="I811" s="126"/>
      <c r="J811" s="126"/>
    </row>
    <row r="812" spans="1:10">
      <c r="A812" s="342"/>
      <c r="B812" s="342" t="s">
        <v>1532</v>
      </c>
      <c r="C812" s="126"/>
      <c r="D812" s="126"/>
      <c r="E812" s="126"/>
      <c r="F812" s="126"/>
      <c r="G812" s="126"/>
      <c r="H812" s="126"/>
      <c r="I812" s="126"/>
      <c r="J812" s="126"/>
    </row>
    <row r="813" spans="1:10">
      <c r="A813" s="342"/>
      <c r="B813" s="342" t="s">
        <v>1533</v>
      </c>
      <c r="C813" s="126"/>
      <c r="D813" s="126">
        <v>17897.45</v>
      </c>
      <c r="E813" s="126"/>
      <c r="F813" s="126"/>
      <c r="G813" s="126"/>
      <c r="H813" s="126">
        <v>8</v>
      </c>
      <c r="I813" s="126"/>
      <c r="J813" s="126"/>
    </row>
    <row r="814" spans="1:10">
      <c r="A814" s="101">
        <v>45930</v>
      </c>
      <c r="B814" s="342" t="s">
        <v>1450</v>
      </c>
      <c r="C814" s="126"/>
      <c r="D814" s="126">
        <v>2790</v>
      </c>
      <c r="E814" s="126"/>
      <c r="F814" s="126"/>
      <c r="G814" s="126"/>
      <c r="H814" s="126">
        <v>8</v>
      </c>
      <c r="I814" s="126"/>
      <c r="J814" s="126"/>
    </row>
    <row r="815" spans="1:10">
      <c r="A815" s="342"/>
      <c r="B815" s="342" t="s">
        <v>1450</v>
      </c>
      <c r="C815" s="126"/>
      <c r="D815" s="126">
        <v>8783.5400000000009</v>
      </c>
      <c r="E815" s="126"/>
      <c r="F815" s="126"/>
      <c r="G815" s="126"/>
      <c r="H815" s="126">
        <v>8</v>
      </c>
      <c r="I815" s="126"/>
      <c r="J815" s="126"/>
    </row>
    <row r="816" spans="1:10">
      <c r="A816" s="342"/>
      <c r="B816" s="342" t="s">
        <v>1035</v>
      </c>
      <c r="C816" s="126"/>
      <c r="D816" s="126">
        <v>967.5</v>
      </c>
      <c r="E816" s="126"/>
      <c r="F816" s="126"/>
      <c r="G816" s="126"/>
      <c r="H816" s="126">
        <v>8</v>
      </c>
      <c r="I816" s="126"/>
      <c r="J816" s="126"/>
    </row>
    <row r="817" spans="1:12">
      <c r="A817" s="342"/>
      <c r="B817" s="126" t="s">
        <v>1534</v>
      </c>
      <c r="C817" s="17">
        <v>10000</v>
      </c>
      <c r="D817" s="23">
        <v>6500</v>
      </c>
      <c r="E817" s="126"/>
      <c r="F817" s="126"/>
      <c r="G817" s="126"/>
      <c r="H817" s="126">
        <v>6</v>
      </c>
      <c r="I817" s="126"/>
      <c r="J817" s="126"/>
    </row>
    <row r="818" spans="1:12">
      <c r="A818" s="342"/>
      <c r="B818" s="14" t="s">
        <v>749</v>
      </c>
      <c r="C818" s="126">
        <v>6500</v>
      </c>
      <c r="D818" s="126"/>
      <c r="E818" s="126"/>
      <c r="F818" s="126"/>
      <c r="G818" s="126"/>
      <c r="H818" s="126">
        <v>3</v>
      </c>
      <c r="I818" s="126"/>
      <c r="J818" s="126"/>
    </row>
    <row r="819" spans="1:12">
      <c r="A819" s="367" t="s">
        <v>797</v>
      </c>
      <c r="B819" s="367" t="s">
        <v>750</v>
      </c>
      <c r="C819" s="368">
        <f>SUM(C708:C818)</f>
        <v>40398.629999999997</v>
      </c>
      <c r="D819" s="368">
        <f>SUM(D708:D817)</f>
        <v>252005.12000000002</v>
      </c>
      <c r="E819" s="367"/>
      <c r="F819" s="367"/>
      <c r="G819" s="368">
        <f>SUM(G708:G818)</f>
        <v>204448.95</v>
      </c>
      <c r="H819" s="367"/>
      <c r="I819" s="368">
        <f>SUM(C819:G819)</f>
        <v>496852.7</v>
      </c>
      <c r="J819" s="342"/>
    </row>
    <row r="820" spans="1:12">
      <c r="A820" s="369" t="s">
        <v>1621</v>
      </c>
      <c r="B820" s="342"/>
      <c r="C820" s="342"/>
      <c r="D820" s="342"/>
      <c r="E820" s="342"/>
      <c r="F820" s="342"/>
      <c r="G820" s="342"/>
      <c r="H820" s="342"/>
      <c r="I820" s="342"/>
      <c r="J820" s="342"/>
    </row>
    <row r="821" spans="1:12">
      <c r="A821" s="101">
        <v>45931</v>
      </c>
      <c r="B821" s="342" t="s">
        <v>1034</v>
      </c>
      <c r="C821" s="342"/>
      <c r="D821" s="126">
        <v>17625</v>
      </c>
      <c r="E821" s="342"/>
      <c r="F821" s="342"/>
      <c r="G821" s="342"/>
      <c r="H821" s="126">
        <v>8</v>
      </c>
      <c r="I821" s="342"/>
      <c r="J821" s="342"/>
    </row>
    <row r="822" spans="1:12">
      <c r="A822" s="101">
        <v>45932</v>
      </c>
      <c r="B822" s="342" t="s">
        <v>1622</v>
      </c>
      <c r="C822" s="126">
        <v>670</v>
      </c>
      <c r="D822" s="342"/>
      <c r="E822" s="342"/>
      <c r="F822" s="342"/>
      <c r="G822" s="342"/>
      <c r="H822" s="126">
        <v>8</v>
      </c>
      <c r="I822" s="342"/>
      <c r="J822" s="342"/>
    </row>
    <row r="823" spans="1:12">
      <c r="A823" s="342"/>
      <c r="B823" s="342" t="s">
        <v>1623</v>
      </c>
      <c r="C823" s="126">
        <v>714</v>
      </c>
      <c r="D823" s="342"/>
      <c r="E823" s="342"/>
      <c r="F823" s="342"/>
      <c r="G823" s="342"/>
      <c r="H823" s="126">
        <v>7</v>
      </c>
      <c r="I823" s="342"/>
      <c r="J823" s="342"/>
    </row>
    <row r="824" spans="1:12">
      <c r="A824" s="342"/>
      <c r="B824" s="342" t="s">
        <v>1624</v>
      </c>
      <c r="C824" s="126">
        <v>8623.43</v>
      </c>
      <c r="D824" s="126">
        <v>3272.79</v>
      </c>
      <c r="E824" s="342"/>
      <c r="F824" s="342"/>
      <c r="G824" s="342"/>
      <c r="H824" s="126">
        <v>7</v>
      </c>
      <c r="I824" s="342"/>
      <c r="J824" s="342"/>
    </row>
    <row r="825" spans="1:12">
      <c r="A825" s="342"/>
      <c r="B825" s="342" t="s">
        <v>1625</v>
      </c>
      <c r="C825" s="126"/>
      <c r="D825" s="126">
        <v>1000</v>
      </c>
      <c r="E825" s="342"/>
      <c r="F825" s="342"/>
      <c r="G825" s="342"/>
      <c r="H825" s="126">
        <v>7</v>
      </c>
      <c r="I825" s="342"/>
      <c r="J825" s="342"/>
    </row>
    <row r="826" spans="1:12">
      <c r="A826" s="101">
        <v>45933</v>
      </c>
      <c r="B826" s="342" t="s">
        <v>1266</v>
      </c>
      <c r="C826" s="126"/>
      <c r="D826" s="126">
        <v>6359.18</v>
      </c>
      <c r="E826" s="342"/>
      <c r="F826" s="342"/>
      <c r="G826" s="342"/>
      <c r="H826" s="126">
        <v>8</v>
      </c>
      <c r="I826" s="342"/>
      <c r="J826" s="342"/>
    </row>
    <row r="827" spans="1:12">
      <c r="A827" s="342"/>
      <c r="B827" s="342" t="s">
        <v>1450</v>
      </c>
      <c r="C827" s="126"/>
      <c r="D827" s="126">
        <v>8265</v>
      </c>
      <c r="E827" s="342"/>
      <c r="F827" s="342"/>
      <c r="G827" s="342"/>
      <c r="H827" s="126">
        <v>8</v>
      </c>
      <c r="I827" s="342"/>
      <c r="J827" s="342"/>
    </row>
    <row r="828" spans="1:12">
      <c r="B828" s="342" t="s">
        <v>1626</v>
      </c>
      <c r="C828" s="126"/>
      <c r="D828" s="126">
        <v>5750</v>
      </c>
      <c r="E828" s="342"/>
      <c r="F828" s="342"/>
      <c r="G828" s="342"/>
      <c r="H828" s="126">
        <v>8</v>
      </c>
      <c r="I828" s="342"/>
      <c r="J828" s="342"/>
    </row>
    <row r="829" spans="1:12">
      <c r="A829" s="101">
        <v>45934</v>
      </c>
      <c r="B829" s="342" t="s">
        <v>1627</v>
      </c>
      <c r="C829" s="126">
        <v>1100</v>
      </c>
      <c r="D829" s="126"/>
      <c r="E829" s="342"/>
      <c r="F829" s="342"/>
      <c r="G829" s="342"/>
      <c r="H829" s="126">
        <v>8</v>
      </c>
      <c r="I829" s="342"/>
      <c r="J829" s="342"/>
    </row>
    <row r="830" spans="1:12">
      <c r="A830" s="342"/>
      <c r="B830" s="342" t="s">
        <v>1628</v>
      </c>
      <c r="C830" s="126"/>
      <c r="D830" s="126"/>
      <c r="E830" s="342"/>
      <c r="F830" s="342"/>
      <c r="G830" s="342"/>
      <c r="H830" s="126"/>
      <c r="I830" s="342"/>
      <c r="J830" s="342"/>
    </row>
    <row r="831" spans="1:12">
      <c r="A831" s="342"/>
      <c r="B831" s="342" t="s">
        <v>1474</v>
      </c>
      <c r="C831" s="126"/>
      <c r="D831" s="126">
        <v>4400</v>
      </c>
      <c r="E831" s="342"/>
      <c r="F831" s="342"/>
      <c r="G831" s="342"/>
      <c r="H831" s="126">
        <v>8</v>
      </c>
      <c r="I831" s="342"/>
      <c r="J831" s="349" t="s">
        <v>808</v>
      </c>
      <c r="K831" s="54" t="s">
        <v>661</v>
      </c>
    </row>
    <row r="832" spans="1:12">
      <c r="A832" s="342"/>
      <c r="B832" s="342" t="s">
        <v>1457</v>
      </c>
      <c r="C832" s="342"/>
      <c r="D832" s="126">
        <v>3500</v>
      </c>
      <c r="E832" s="342"/>
      <c r="F832" s="342"/>
      <c r="G832" s="342"/>
      <c r="H832" s="126">
        <v>8</v>
      </c>
      <c r="I832" s="342"/>
      <c r="J832" s="53" t="s">
        <v>613</v>
      </c>
      <c r="K832" s="54"/>
      <c r="L832" s="126">
        <f>SUM(L715,K832)</f>
        <v>5134.75</v>
      </c>
    </row>
    <row r="833" spans="1:12">
      <c r="A833" s="342"/>
      <c r="B833" s="342" t="s">
        <v>1629</v>
      </c>
      <c r="C833" s="126">
        <v>3500</v>
      </c>
      <c r="D833" s="342"/>
      <c r="E833" s="342"/>
      <c r="F833" s="342"/>
      <c r="G833" s="342"/>
      <c r="H833" s="126">
        <v>8</v>
      </c>
      <c r="I833" s="342"/>
      <c r="J833" s="55" t="s">
        <v>615</v>
      </c>
      <c r="K833" s="54">
        <f>SUM(G880,G881,G882,G883)</f>
        <v>14290</v>
      </c>
      <c r="L833" s="126">
        <f>SUM(L716,K833)</f>
        <v>206887.53</v>
      </c>
    </row>
    <row r="834" spans="1:12">
      <c r="A834" s="342"/>
      <c r="B834" s="342" t="s">
        <v>1459</v>
      </c>
      <c r="C834" s="126"/>
      <c r="D834" s="126">
        <v>3850</v>
      </c>
      <c r="E834" s="126"/>
      <c r="F834" s="126"/>
      <c r="G834" s="126"/>
      <c r="H834" s="126">
        <v>8</v>
      </c>
      <c r="I834" s="342"/>
      <c r="J834" s="56" t="s">
        <v>617</v>
      </c>
      <c r="K834" s="54">
        <f>SUM(C914)</f>
        <v>6500</v>
      </c>
      <c r="L834" s="126">
        <f t="shared" ref="L834:L844" si="9">SUM(L717,K834)</f>
        <v>65000</v>
      </c>
    </row>
    <row r="835" spans="1:12">
      <c r="A835" s="342"/>
      <c r="B835" s="342" t="s">
        <v>1530</v>
      </c>
      <c r="C835" s="126"/>
      <c r="D835" s="126">
        <v>3850</v>
      </c>
      <c r="E835" s="126"/>
      <c r="F835" s="126"/>
      <c r="G835" s="126"/>
      <c r="H835" s="126">
        <v>8</v>
      </c>
      <c r="I835" s="342"/>
      <c r="J835" s="57" t="s">
        <v>619</v>
      </c>
      <c r="K835" s="54"/>
      <c r="L835" s="126">
        <f t="shared" si="9"/>
        <v>0</v>
      </c>
    </row>
    <row r="836" spans="1:12">
      <c r="A836" s="342"/>
      <c r="B836" s="342" t="s">
        <v>1514</v>
      </c>
      <c r="C836" s="126"/>
      <c r="D836" s="126">
        <v>3300</v>
      </c>
      <c r="E836" s="126"/>
      <c r="F836" s="126"/>
      <c r="G836" s="126"/>
      <c r="H836" s="126">
        <v>8</v>
      </c>
      <c r="I836" s="342"/>
      <c r="J836" s="58" t="s">
        <v>621</v>
      </c>
      <c r="K836" s="54">
        <f>SUM(C840)</f>
        <v>300</v>
      </c>
      <c r="L836" s="126">
        <f>SUM(L719,K836)</f>
        <v>17000</v>
      </c>
    </row>
    <row r="837" spans="1:12">
      <c r="A837" s="342"/>
      <c r="B837" s="342" t="s">
        <v>1460</v>
      </c>
      <c r="C837" s="126"/>
      <c r="D837" s="126">
        <v>3300</v>
      </c>
      <c r="E837" s="126"/>
      <c r="F837" s="126"/>
      <c r="G837" s="126"/>
      <c r="H837" s="126">
        <v>8</v>
      </c>
      <c r="I837" s="342"/>
      <c r="J837" s="54" t="s">
        <v>623</v>
      </c>
      <c r="K837" s="54">
        <f>SUM(C913,D913)</f>
        <v>16500</v>
      </c>
      <c r="L837" s="126">
        <f>SUM(L720,K837)</f>
        <v>165000</v>
      </c>
    </row>
    <row r="838" spans="1:12">
      <c r="A838" s="342"/>
      <c r="B838" s="342" t="s">
        <v>1461</v>
      </c>
      <c r="C838" s="126"/>
      <c r="D838" s="126">
        <v>3300</v>
      </c>
      <c r="E838" s="126"/>
      <c r="F838" s="126"/>
      <c r="G838" s="126"/>
      <c r="H838" s="126">
        <v>8</v>
      </c>
      <c r="I838" s="342"/>
      <c r="J838" s="54" t="s">
        <v>625</v>
      </c>
      <c r="K838" s="54">
        <f>SUM(C851)</f>
        <v>0</v>
      </c>
      <c r="L838" s="126">
        <f t="shared" si="9"/>
        <v>6000</v>
      </c>
    </row>
    <row r="839" spans="1:12">
      <c r="A839" s="101">
        <v>45936</v>
      </c>
      <c r="B839" s="342" t="s">
        <v>1450</v>
      </c>
      <c r="C839" s="126"/>
      <c r="D839" s="126">
        <v>6385</v>
      </c>
      <c r="E839" s="126"/>
      <c r="F839" s="126"/>
      <c r="G839" s="126"/>
      <c r="H839" s="126">
        <v>8</v>
      </c>
      <c r="I839" s="342"/>
      <c r="J839" s="54" t="s">
        <v>627</v>
      </c>
      <c r="K839" s="54">
        <f>SUM(C867)</f>
        <v>760</v>
      </c>
      <c r="L839" s="126">
        <f t="shared" si="9"/>
        <v>7410</v>
      </c>
    </row>
    <row r="840" spans="1:12">
      <c r="A840" s="342"/>
      <c r="B840" s="342" t="s">
        <v>1630</v>
      </c>
      <c r="C840" s="126">
        <v>300</v>
      </c>
      <c r="D840" s="126"/>
      <c r="E840" s="126"/>
      <c r="F840" s="126"/>
      <c r="G840" s="126"/>
      <c r="H840" s="126">
        <v>5</v>
      </c>
      <c r="I840" s="342"/>
      <c r="J840" s="54" t="s">
        <v>629</v>
      </c>
      <c r="K840" s="54">
        <f>SUM(G831)</f>
        <v>0</v>
      </c>
      <c r="L840" s="126">
        <f t="shared" si="9"/>
        <v>40000</v>
      </c>
    </row>
    <row r="841" spans="1:12">
      <c r="A841" s="342"/>
      <c r="B841" s="342" t="s">
        <v>1631</v>
      </c>
      <c r="C841" s="126"/>
      <c r="D841" s="126">
        <v>200</v>
      </c>
      <c r="E841" s="126"/>
      <c r="F841" s="126"/>
      <c r="G841" s="126"/>
      <c r="H841" s="126">
        <v>10</v>
      </c>
      <c r="I841" s="342"/>
      <c r="J841" s="54" t="s">
        <v>631</v>
      </c>
      <c r="K841" s="54">
        <f>SUM(C823,C824,D824,D825)</f>
        <v>13610.220000000001</v>
      </c>
      <c r="L841" s="126">
        <f t="shared" si="9"/>
        <v>131742.87000000002</v>
      </c>
    </row>
    <row r="842" spans="1:12">
      <c r="A842" s="342"/>
      <c r="B842" s="342" t="s">
        <v>1632</v>
      </c>
      <c r="C842" s="126"/>
      <c r="D842" s="126">
        <v>5800</v>
      </c>
      <c r="E842" s="126"/>
      <c r="F842" s="126"/>
      <c r="G842" s="126"/>
      <c r="H842" s="126">
        <v>8</v>
      </c>
      <c r="I842" s="342"/>
      <c r="J842" s="54" t="s">
        <v>634</v>
      </c>
      <c r="K842" s="54">
        <f>SUM(D821,C822,D826:D828,C829,D831:D832,C833,D834:D838,D842,D843,D844,D845,D847:D850,D852:D853,C854,D855:D860,D862,D866,D839,D863,D864,D865,D868,F869,D870,D871,D873,D874,F875,D876,D877,D878,D879,D884,D885,D886,D887,D888,D889,C890,D891,C892,D893,D895,D896,D898,D899,C900,F900,D901,D902:D907,C910,D911,D912)</f>
        <v>261575.28</v>
      </c>
      <c r="L842" s="126">
        <f t="shared" si="9"/>
        <v>940237.34000000008</v>
      </c>
    </row>
    <row r="843" spans="1:12">
      <c r="A843" s="342"/>
      <c r="B843" s="342" t="s">
        <v>1453</v>
      </c>
      <c r="C843" s="126"/>
      <c r="D843" s="126">
        <v>200</v>
      </c>
      <c r="E843" s="126"/>
      <c r="F843" s="126"/>
      <c r="G843" s="126"/>
      <c r="H843" s="126">
        <v>8</v>
      </c>
      <c r="I843" s="342"/>
      <c r="J843" s="54" t="s">
        <v>636</v>
      </c>
      <c r="K843" s="63">
        <f>SUM(C894,D908,)</f>
        <v>1500</v>
      </c>
      <c r="L843" s="126">
        <f t="shared" si="9"/>
        <v>23095.75</v>
      </c>
    </row>
    <row r="844" spans="1:12">
      <c r="A844" s="342"/>
      <c r="B844" s="342" t="s">
        <v>1633</v>
      </c>
      <c r="C844" s="126"/>
      <c r="D844" s="126">
        <v>2500</v>
      </c>
      <c r="E844" s="126"/>
      <c r="F844" s="126"/>
      <c r="G844" s="126"/>
      <c r="H844" s="126">
        <v>8</v>
      </c>
      <c r="I844" s="342"/>
      <c r="J844" s="54" t="s">
        <v>638</v>
      </c>
      <c r="K844" s="54">
        <f>SUM(D841,,G846,G861,G909)</f>
        <v>63899.59</v>
      </c>
      <c r="L844" s="126">
        <f t="shared" si="9"/>
        <v>1060947.67</v>
      </c>
    </row>
    <row r="845" spans="1:12" ht="15.75" thickBot="1">
      <c r="A845" s="101">
        <v>45937</v>
      </c>
      <c r="B845" s="342" t="s">
        <v>1437</v>
      </c>
      <c r="C845" s="126"/>
      <c r="D845" s="126">
        <v>120</v>
      </c>
      <c r="E845" s="126"/>
      <c r="F845" s="126"/>
      <c r="G845" s="126"/>
      <c r="H845" s="126">
        <v>8</v>
      </c>
      <c r="I845" s="342"/>
      <c r="J845" s="172" t="s">
        <v>808</v>
      </c>
      <c r="K845" s="361">
        <f>SUM(K832:K844)</f>
        <v>378935.08999999997</v>
      </c>
      <c r="L845" s="358">
        <f>SUM(L832:L844)</f>
        <v>2668455.91</v>
      </c>
    </row>
    <row r="846" spans="1:12" ht="15.75" thickTop="1">
      <c r="A846" s="342"/>
      <c r="B846" s="342" t="s">
        <v>1634</v>
      </c>
      <c r="C846" s="126"/>
      <c r="D846" s="126"/>
      <c r="E846" s="126"/>
      <c r="F846" s="126"/>
      <c r="G846" s="126">
        <v>1550</v>
      </c>
      <c r="H846" s="126">
        <v>10</v>
      </c>
      <c r="I846" s="342"/>
      <c r="J846" s="343"/>
      <c r="K846" s="362"/>
      <c r="L846" s="358">
        <f>SUM(L729,K845)</f>
        <v>2668455.91</v>
      </c>
    </row>
    <row r="847" spans="1:12">
      <c r="A847" s="101">
        <v>45938</v>
      </c>
      <c r="B847" s="342" t="s">
        <v>1450</v>
      </c>
      <c r="C847" s="126"/>
      <c r="D847" s="126">
        <v>7600</v>
      </c>
      <c r="E847" s="126"/>
      <c r="F847" s="126"/>
      <c r="G847" s="126"/>
      <c r="H847" s="126">
        <v>8</v>
      </c>
      <c r="I847" s="342"/>
      <c r="J847" s="342"/>
    </row>
    <row r="848" spans="1:12">
      <c r="A848" s="342"/>
      <c r="B848" s="342" t="s">
        <v>1450</v>
      </c>
      <c r="C848" s="126"/>
      <c r="D848" s="126">
        <v>1335</v>
      </c>
      <c r="E848" s="126"/>
      <c r="F848" s="126"/>
      <c r="G848" s="126"/>
      <c r="H848" s="126">
        <v>8</v>
      </c>
      <c r="I848" s="342"/>
      <c r="J848" s="342"/>
    </row>
    <row r="849" spans="1:10">
      <c r="A849" s="101">
        <v>45940</v>
      </c>
      <c r="B849" s="342" t="s">
        <v>1450</v>
      </c>
      <c r="C849" s="126"/>
      <c r="D849" s="126">
        <v>5685</v>
      </c>
      <c r="E849" s="126"/>
      <c r="F849" s="126"/>
      <c r="G849" s="126"/>
      <c r="H849" s="126">
        <v>8</v>
      </c>
      <c r="I849" s="342"/>
      <c r="J849" s="342"/>
    </row>
    <row r="850" spans="1:10">
      <c r="B850" s="342" t="s">
        <v>1635</v>
      </c>
      <c r="C850" s="342"/>
      <c r="D850" s="126">
        <v>8628</v>
      </c>
      <c r="E850" s="342"/>
      <c r="F850" s="342"/>
      <c r="G850" s="342"/>
      <c r="H850" s="126">
        <v>8</v>
      </c>
      <c r="I850" s="342"/>
      <c r="J850" s="342"/>
    </row>
    <row r="851" spans="1:10">
      <c r="A851" s="101">
        <v>45941</v>
      </c>
      <c r="B851" s="342" t="s">
        <v>1636</v>
      </c>
      <c r="C851" s="342"/>
      <c r="D851" s="126"/>
      <c r="E851" s="342"/>
      <c r="F851" s="342"/>
      <c r="G851" s="342"/>
      <c r="H851" s="126"/>
      <c r="I851" s="342"/>
      <c r="J851" s="342"/>
    </row>
    <row r="852" spans="1:10">
      <c r="A852" s="342"/>
      <c r="B852" s="342" t="s">
        <v>1474</v>
      </c>
      <c r="C852" s="342"/>
      <c r="D852" s="126">
        <v>4800</v>
      </c>
      <c r="E852" s="342"/>
      <c r="F852" s="342"/>
      <c r="G852" s="342"/>
      <c r="H852" s="126">
        <v>8</v>
      </c>
      <c r="I852" s="342"/>
      <c r="J852" s="342"/>
    </row>
    <row r="853" spans="1:10">
      <c r="A853" s="342"/>
      <c r="B853" s="342" t="s">
        <v>1457</v>
      </c>
      <c r="C853" s="342"/>
      <c r="D853" s="126">
        <v>4200</v>
      </c>
      <c r="E853" s="342"/>
      <c r="F853" s="342"/>
      <c r="G853" s="342"/>
      <c r="H853" s="126">
        <v>8</v>
      </c>
      <c r="I853" s="342"/>
      <c r="J853" s="342"/>
    </row>
    <row r="854" spans="1:10">
      <c r="A854" s="342"/>
      <c r="B854" s="342" t="s">
        <v>1637</v>
      </c>
      <c r="C854" s="126">
        <v>2100</v>
      </c>
      <c r="D854" s="126"/>
      <c r="E854" s="342"/>
      <c r="F854" s="342"/>
      <c r="G854" s="342"/>
      <c r="H854" s="126">
        <v>8</v>
      </c>
      <c r="I854" s="342"/>
      <c r="J854" s="342"/>
    </row>
    <row r="855" spans="1:10">
      <c r="A855" s="342"/>
      <c r="B855" s="342" t="s">
        <v>1638</v>
      </c>
      <c r="C855" s="342"/>
      <c r="D855" s="126">
        <v>2100</v>
      </c>
      <c r="E855" s="342"/>
      <c r="F855" s="342"/>
      <c r="G855" s="342"/>
      <c r="H855" s="126">
        <v>8</v>
      </c>
      <c r="I855" s="342"/>
      <c r="J855" s="342"/>
    </row>
    <row r="856" spans="1:10">
      <c r="A856" s="342"/>
      <c r="B856" s="342" t="s">
        <v>1459</v>
      </c>
      <c r="C856" s="342"/>
      <c r="D856" s="126">
        <v>4200</v>
      </c>
      <c r="E856" s="342"/>
      <c r="F856" s="342"/>
      <c r="G856" s="342"/>
      <c r="H856" s="126">
        <v>8</v>
      </c>
      <c r="I856" s="342"/>
      <c r="J856" s="342"/>
    </row>
    <row r="857" spans="1:10">
      <c r="A857" s="342"/>
      <c r="B857" s="342" t="s">
        <v>1530</v>
      </c>
      <c r="C857" s="342"/>
      <c r="D857" s="126">
        <v>4200</v>
      </c>
      <c r="E857" s="342"/>
      <c r="F857" s="342"/>
      <c r="G857" s="342"/>
      <c r="H857" s="126">
        <v>8</v>
      </c>
      <c r="I857" s="342"/>
      <c r="J857" s="342"/>
    </row>
    <row r="858" spans="1:10">
      <c r="A858" s="342"/>
      <c r="B858" s="342" t="s">
        <v>1460</v>
      </c>
      <c r="C858" s="342"/>
      <c r="D858" s="126">
        <v>3600</v>
      </c>
      <c r="E858" s="342"/>
      <c r="F858" s="342"/>
      <c r="G858" s="342"/>
      <c r="H858" s="126">
        <v>8</v>
      </c>
      <c r="I858" s="342"/>
      <c r="J858" s="342"/>
    </row>
    <row r="859" spans="1:10">
      <c r="A859" s="342"/>
      <c r="B859" s="342" t="s">
        <v>1514</v>
      </c>
      <c r="C859" s="342"/>
      <c r="D859" s="126">
        <v>2400</v>
      </c>
      <c r="E859" s="342"/>
      <c r="F859" s="342"/>
      <c r="G859" s="342"/>
      <c r="H859" s="126">
        <v>8</v>
      </c>
      <c r="I859" s="342"/>
      <c r="J859" s="342"/>
    </row>
    <row r="860" spans="1:10">
      <c r="A860" s="342"/>
      <c r="B860" s="342" t="s">
        <v>1461</v>
      </c>
      <c r="C860" s="342"/>
      <c r="D860" s="126">
        <v>3600</v>
      </c>
      <c r="E860" s="342"/>
      <c r="F860" s="342"/>
      <c r="G860" s="342"/>
      <c r="H860" s="126">
        <v>8</v>
      </c>
      <c r="I860" s="342"/>
      <c r="J860" s="342"/>
    </row>
    <row r="861" spans="1:10">
      <c r="A861" s="101">
        <v>45943</v>
      </c>
      <c r="B861" s="342" t="s">
        <v>1639</v>
      </c>
      <c r="C861" s="342"/>
      <c r="D861" s="126"/>
      <c r="E861" s="342"/>
      <c r="F861" s="342"/>
      <c r="G861" s="126">
        <v>61749.59</v>
      </c>
      <c r="H861" s="126">
        <v>10</v>
      </c>
      <c r="I861" s="342"/>
      <c r="J861" s="342"/>
    </row>
    <row r="862" spans="1:10">
      <c r="A862" s="342"/>
      <c r="B862" s="342" t="s">
        <v>1266</v>
      </c>
      <c r="C862" s="342"/>
      <c r="D862" s="126">
        <v>744.1</v>
      </c>
      <c r="E862" s="342"/>
      <c r="F862" s="342"/>
      <c r="G862" s="342"/>
      <c r="H862" s="126">
        <v>8</v>
      </c>
      <c r="I862" s="342"/>
      <c r="J862" s="342"/>
    </row>
    <row r="863" spans="1:10">
      <c r="A863" s="101">
        <v>45945</v>
      </c>
      <c r="B863" s="342" t="s">
        <v>1450</v>
      </c>
      <c r="C863" s="342"/>
      <c r="D863" s="126">
        <v>4595</v>
      </c>
      <c r="E863" s="342"/>
      <c r="F863" s="342"/>
      <c r="G863" s="342"/>
      <c r="H863" s="126">
        <v>8</v>
      </c>
      <c r="I863" s="342"/>
      <c r="J863" s="342"/>
    </row>
    <row r="864" spans="1:10">
      <c r="A864" s="101">
        <v>45946</v>
      </c>
      <c r="B864" s="342" t="s">
        <v>1034</v>
      </c>
      <c r="C864" s="342"/>
      <c r="D864" s="126">
        <v>4390</v>
      </c>
      <c r="E864" s="342"/>
      <c r="F864" s="342"/>
      <c r="G864" s="342"/>
      <c r="H864" s="126">
        <v>8</v>
      </c>
      <c r="I864" s="342"/>
      <c r="J864" s="342"/>
    </row>
    <row r="865" spans="1:10">
      <c r="A865" s="342"/>
      <c r="B865" s="342" t="s">
        <v>1450</v>
      </c>
      <c r="C865" s="342"/>
      <c r="D865" s="126">
        <v>1298</v>
      </c>
      <c r="E865" s="342"/>
      <c r="F865" s="342"/>
      <c r="G865" s="342"/>
      <c r="H865" s="126">
        <v>8</v>
      </c>
      <c r="I865" s="342"/>
      <c r="J865" s="342"/>
    </row>
    <row r="866" spans="1:10">
      <c r="A866" s="342"/>
      <c r="B866" s="342" t="s">
        <v>1488</v>
      </c>
      <c r="C866" s="342"/>
      <c r="D866" s="126">
        <v>1000</v>
      </c>
      <c r="E866" s="342"/>
      <c r="F866" s="342"/>
      <c r="G866" s="342"/>
      <c r="H866" s="126">
        <v>8</v>
      </c>
      <c r="I866" s="342"/>
      <c r="J866" s="342"/>
    </row>
    <row r="867" spans="1:10">
      <c r="A867" s="342"/>
      <c r="B867" s="342" t="s">
        <v>1640</v>
      </c>
      <c r="C867" s="126">
        <v>760</v>
      </c>
      <c r="D867" s="126"/>
      <c r="E867" s="342"/>
      <c r="F867" s="342"/>
      <c r="G867" s="342"/>
      <c r="H867" s="126" t="s">
        <v>648</v>
      </c>
      <c r="I867" s="342"/>
      <c r="J867" s="342"/>
    </row>
    <row r="868" spans="1:10">
      <c r="A868" s="101">
        <v>45947</v>
      </c>
      <c r="B868" s="126" t="s">
        <v>1035</v>
      </c>
      <c r="C868" s="126"/>
      <c r="D868" s="126">
        <v>6680.33</v>
      </c>
      <c r="E868" s="126"/>
      <c r="F868" s="126"/>
      <c r="G868" s="126"/>
      <c r="H868" s="126">
        <v>8</v>
      </c>
      <c r="I868" s="126"/>
      <c r="J868" s="126"/>
    </row>
    <row r="869" spans="1:10">
      <c r="A869" s="342"/>
      <c r="B869" s="126" t="s">
        <v>1641</v>
      </c>
      <c r="C869" s="126"/>
      <c r="D869" s="126"/>
      <c r="E869" s="126"/>
      <c r="F869" s="126">
        <v>399.14</v>
      </c>
      <c r="G869" s="126"/>
      <c r="H869" s="126">
        <v>8</v>
      </c>
      <c r="I869" s="126"/>
      <c r="J869" s="126"/>
    </row>
    <row r="870" spans="1:10">
      <c r="A870" s="101">
        <v>45948</v>
      </c>
      <c r="B870" s="126" t="s">
        <v>1450</v>
      </c>
      <c r="C870" s="126"/>
      <c r="D870" s="126">
        <v>5260</v>
      </c>
      <c r="E870" s="126"/>
      <c r="F870" s="126"/>
      <c r="G870" s="126"/>
      <c r="H870" s="126">
        <v>8</v>
      </c>
      <c r="I870" s="126"/>
      <c r="J870" s="126"/>
    </row>
    <row r="871" spans="1:10">
      <c r="B871" s="126" t="s">
        <v>1642</v>
      </c>
      <c r="C871" s="126"/>
      <c r="D871" s="126">
        <v>640</v>
      </c>
      <c r="E871" s="126"/>
      <c r="F871" s="126"/>
      <c r="G871" s="126"/>
      <c r="H871" s="126">
        <v>8</v>
      </c>
      <c r="I871" s="126"/>
      <c r="J871" s="126"/>
    </row>
    <row r="872" spans="1:10">
      <c r="B872" s="126" t="s">
        <v>1643</v>
      </c>
      <c r="C872" s="126"/>
      <c r="D872" s="126"/>
      <c r="E872" s="126"/>
      <c r="F872" s="126"/>
      <c r="G872" s="126"/>
      <c r="H872" s="126"/>
      <c r="I872" s="126"/>
      <c r="J872" s="126"/>
    </row>
    <row r="873" spans="1:10">
      <c r="B873" s="126" t="s">
        <v>1474</v>
      </c>
      <c r="C873" s="126"/>
      <c r="D873" s="126">
        <v>4000</v>
      </c>
      <c r="E873" s="126"/>
      <c r="F873" s="126"/>
      <c r="G873" s="126"/>
      <c r="H873" s="126">
        <v>8</v>
      </c>
      <c r="I873" s="126"/>
      <c r="J873" s="126"/>
    </row>
    <row r="874" spans="1:10">
      <c r="B874" s="126" t="s">
        <v>1457</v>
      </c>
      <c r="C874" s="126"/>
      <c r="D874" s="126">
        <v>3500</v>
      </c>
      <c r="E874" s="126"/>
      <c r="F874" s="126"/>
      <c r="G874" s="126"/>
      <c r="H874" s="126">
        <v>8</v>
      </c>
      <c r="I874" s="126"/>
      <c r="J874" s="126"/>
    </row>
    <row r="875" spans="1:10">
      <c r="B875" s="126" t="s">
        <v>1638</v>
      </c>
      <c r="C875" s="126"/>
      <c r="D875" s="126"/>
      <c r="E875" s="126"/>
      <c r="F875" s="126">
        <v>3500</v>
      </c>
      <c r="G875" s="126"/>
      <c r="H875" s="126">
        <v>8</v>
      </c>
      <c r="I875" s="126"/>
      <c r="J875" s="126"/>
    </row>
    <row r="876" spans="1:10">
      <c r="B876" s="126" t="s">
        <v>1459</v>
      </c>
      <c r="C876" s="126"/>
      <c r="D876" s="126">
        <v>2800</v>
      </c>
      <c r="E876" s="126"/>
      <c r="F876" s="126"/>
      <c r="G876" s="126"/>
      <c r="H876" s="126">
        <v>8</v>
      </c>
      <c r="I876" s="126"/>
      <c r="J876" s="126"/>
    </row>
    <row r="877" spans="1:10">
      <c r="B877" s="126" t="s">
        <v>1530</v>
      </c>
      <c r="C877" s="126"/>
      <c r="D877" s="126">
        <v>2800</v>
      </c>
      <c r="E877" s="126"/>
      <c r="F877" s="126"/>
      <c r="G877" s="126"/>
      <c r="H877" s="126">
        <v>8</v>
      </c>
      <c r="I877" s="126"/>
      <c r="J877" s="126"/>
    </row>
    <row r="878" spans="1:10">
      <c r="B878" s="126" t="s">
        <v>1460</v>
      </c>
      <c r="C878" s="126"/>
      <c r="D878" s="126">
        <v>2400</v>
      </c>
      <c r="E878" s="126"/>
      <c r="F878" s="126"/>
      <c r="G878" s="126"/>
      <c r="H878" s="126">
        <v>8</v>
      </c>
      <c r="I878" s="126"/>
      <c r="J878" s="126"/>
    </row>
    <row r="879" spans="1:10">
      <c r="B879" s="126" t="s">
        <v>1461</v>
      </c>
      <c r="C879" s="126"/>
      <c r="D879" s="126">
        <v>3000</v>
      </c>
      <c r="E879" s="126"/>
      <c r="F879" s="126"/>
      <c r="G879" s="126"/>
      <c r="H879" s="126">
        <v>8</v>
      </c>
      <c r="I879" s="126"/>
      <c r="J879" s="126"/>
    </row>
    <row r="880" spans="1:10">
      <c r="A880" s="101">
        <v>45950</v>
      </c>
      <c r="B880" s="126" t="s">
        <v>1644</v>
      </c>
      <c r="C880" s="126"/>
      <c r="D880" s="126"/>
      <c r="E880" s="126"/>
      <c r="F880" s="126"/>
      <c r="G880" s="126">
        <v>2500</v>
      </c>
      <c r="H880" s="126">
        <v>2</v>
      </c>
      <c r="I880" s="126"/>
      <c r="J880" s="126"/>
    </row>
    <row r="881" spans="1:10">
      <c r="A881" s="342"/>
      <c r="B881" s="126" t="s">
        <v>1645</v>
      </c>
      <c r="C881" s="126"/>
      <c r="D881" s="126"/>
      <c r="E881" s="126"/>
      <c r="F881" s="126"/>
      <c r="G881" s="126">
        <v>4290</v>
      </c>
      <c r="H881" s="126">
        <v>2</v>
      </c>
      <c r="I881" s="126"/>
      <c r="J881" s="126"/>
    </row>
    <row r="882" spans="1:10">
      <c r="A882" s="342"/>
      <c r="B882" s="126" t="s">
        <v>1646</v>
      </c>
      <c r="C882" s="126"/>
      <c r="D882" s="126"/>
      <c r="E882" s="126"/>
      <c r="F882" s="126"/>
      <c r="G882" s="126">
        <v>6500</v>
      </c>
      <c r="H882" s="126">
        <v>2</v>
      </c>
      <c r="I882" s="126"/>
      <c r="J882" s="126"/>
    </row>
    <row r="883" spans="1:10">
      <c r="A883" s="342"/>
      <c r="B883" s="126" t="s">
        <v>1647</v>
      </c>
      <c r="C883" s="126"/>
      <c r="D883" s="126"/>
      <c r="E883" s="126"/>
      <c r="F883" s="126"/>
      <c r="G883" s="126">
        <v>1000</v>
      </c>
      <c r="H883" s="126">
        <v>2</v>
      </c>
      <c r="I883" s="126"/>
      <c r="J883" s="126"/>
    </row>
    <row r="884" spans="1:10">
      <c r="A884" s="342"/>
      <c r="B884" s="126" t="s">
        <v>1450</v>
      </c>
      <c r="C884" s="126"/>
      <c r="D884" s="126">
        <v>2400</v>
      </c>
      <c r="E884" s="126"/>
      <c r="F884" s="126"/>
      <c r="G884" s="126"/>
      <c r="H884" s="126">
        <v>8</v>
      </c>
      <c r="I884" s="126"/>
      <c r="J884" s="126"/>
    </row>
    <row r="885" spans="1:10">
      <c r="A885" s="101">
        <v>45951</v>
      </c>
      <c r="B885" s="126" t="s">
        <v>1035</v>
      </c>
      <c r="C885" s="126"/>
      <c r="D885" s="126">
        <v>3346.7</v>
      </c>
      <c r="E885" s="126"/>
      <c r="F885" s="126"/>
      <c r="G885" s="126"/>
      <c r="H885" s="126">
        <v>8</v>
      </c>
      <c r="I885" s="126"/>
      <c r="J885" s="126"/>
    </row>
    <row r="886" spans="1:10">
      <c r="A886" s="342"/>
      <c r="B886" s="126" t="s">
        <v>1450</v>
      </c>
      <c r="C886" s="126"/>
      <c r="D886" s="126">
        <v>385</v>
      </c>
      <c r="E886" s="126"/>
      <c r="F886" s="126"/>
      <c r="G886" s="126"/>
      <c r="H886" s="126">
        <v>8</v>
      </c>
      <c r="I886" s="126"/>
      <c r="J886" s="126"/>
    </row>
    <row r="887" spans="1:10">
      <c r="A887" s="101">
        <v>45952</v>
      </c>
      <c r="B887" s="126" t="s">
        <v>1648</v>
      </c>
      <c r="C887" s="126"/>
      <c r="D887" s="126">
        <v>600</v>
      </c>
      <c r="E887" s="126"/>
      <c r="F887" s="126"/>
      <c r="G887" s="126"/>
      <c r="H887" s="126">
        <v>8</v>
      </c>
      <c r="I887" s="126"/>
      <c r="J887" s="126"/>
    </row>
    <row r="888" spans="1:10">
      <c r="A888" s="342"/>
      <c r="B888" s="126" t="s">
        <v>1035</v>
      </c>
      <c r="C888" s="126"/>
      <c r="D888" s="126">
        <v>1751.25</v>
      </c>
      <c r="E888" s="126"/>
      <c r="F888" s="126"/>
      <c r="G888" s="126"/>
      <c r="H888" s="126">
        <v>8</v>
      </c>
      <c r="I888" s="126"/>
      <c r="J888" s="126"/>
    </row>
    <row r="889" spans="1:10">
      <c r="A889" s="342"/>
      <c r="B889" s="126" t="s">
        <v>1450</v>
      </c>
      <c r="C889" s="126"/>
      <c r="D889" s="126">
        <v>3800</v>
      </c>
      <c r="E889" s="126"/>
      <c r="F889" s="126"/>
      <c r="G889" s="126"/>
      <c r="H889" s="126">
        <v>8</v>
      </c>
      <c r="I889" s="126"/>
      <c r="J889" s="126"/>
    </row>
    <row r="890" spans="1:10">
      <c r="A890" s="101">
        <v>45953</v>
      </c>
      <c r="B890" s="342" t="s">
        <v>1649</v>
      </c>
      <c r="C890" s="126">
        <v>1500</v>
      </c>
      <c r="D890" s="126"/>
      <c r="E890" s="126"/>
      <c r="F890" s="126"/>
      <c r="G890" s="126"/>
      <c r="H890" s="126">
        <v>8</v>
      </c>
      <c r="I890" s="126"/>
      <c r="J890" s="126"/>
    </row>
    <row r="891" spans="1:10">
      <c r="A891" s="342"/>
      <c r="B891" s="342" t="s">
        <v>1450</v>
      </c>
      <c r="C891" s="126"/>
      <c r="D891" s="126">
        <v>4250</v>
      </c>
      <c r="E891" s="126"/>
      <c r="F891" s="126"/>
      <c r="G891" s="126"/>
      <c r="H891" s="126">
        <v>8</v>
      </c>
      <c r="I891" s="126"/>
      <c r="J891" s="126"/>
    </row>
    <row r="892" spans="1:10">
      <c r="A892" s="342"/>
      <c r="B892" s="342" t="s">
        <v>1650</v>
      </c>
      <c r="C892" s="126">
        <v>4100</v>
      </c>
      <c r="D892" s="126"/>
      <c r="E892" s="126"/>
      <c r="F892" s="126"/>
      <c r="G892" s="126"/>
      <c r="H892" s="126">
        <v>8</v>
      </c>
      <c r="I892" s="126"/>
      <c r="J892" s="126"/>
    </row>
    <row r="893" spans="1:10">
      <c r="A893" s="101">
        <v>45954</v>
      </c>
      <c r="B893" s="342" t="s">
        <v>1450</v>
      </c>
      <c r="C893" s="126"/>
      <c r="D893" s="126">
        <v>430</v>
      </c>
      <c r="E893" s="126"/>
      <c r="F893" s="126"/>
      <c r="G893" s="126"/>
      <c r="H893" s="126">
        <v>8</v>
      </c>
      <c r="I893" s="126"/>
      <c r="J893" s="126"/>
    </row>
    <row r="894" spans="1:10">
      <c r="A894" s="342"/>
      <c r="B894" s="342" t="s">
        <v>1361</v>
      </c>
      <c r="C894" s="126">
        <v>500</v>
      </c>
      <c r="D894" s="126"/>
      <c r="E894" s="126"/>
      <c r="F894" s="126"/>
      <c r="G894" s="126"/>
      <c r="H894" s="126">
        <v>9</v>
      </c>
      <c r="I894" s="126"/>
      <c r="J894" s="126"/>
    </row>
    <row r="895" spans="1:10">
      <c r="A895" s="101">
        <v>45955</v>
      </c>
      <c r="B895" s="342" t="s">
        <v>1450</v>
      </c>
      <c r="C895" s="126"/>
      <c r="D895" s="126">
        <v>4770</v>
      </c>
      <c r="E895" s="126"/>
      <c r="F895" s="126"/>
      <c r="G895" s="126"/>
      <c r="H895" s="126">
        <v>8</v>
      </c>
      <c r="I895" s="126"/>
      <c r="J895" s="126"/>
    </row>
    <row r="896" spans="1:10">
      <c r="B896" s="342" t="s">
        <v>1035</v>
      </c>
      <c r="C896" s="126"/>
      <c r="D896" s="126">
        <v>5063.1000000000004</v>
      </c>
      <c r="E896" s="126"/>
      <c r="F896" s="126"/>
      <c r="G896" s="126"/>
      <c r="H896" s="126">
        <v>8</v>
      </c>
      <c r="I896" s="126"/>
      <c r="J896" s="126"/>
    </row>
    <row r="897" spans="1:10">
      <c r="B897" s="342" t="s">
        <v>1651</v>
      </c>
      <c r="C897" s="126"/>
      <c r="D897" s="126"/>
      <c r="E897" s="126"/>
      <c r="F897" s="126"/>
      <c r="G897" s="126"/>
      <c r="H897" s="126"/>
      <c r="I897" s="126"/>
      <c r="J897" s="126"/>
    </row>
    <row r="898" spans="1:10">
      <c r="B898" s="342" t="s">
        <v>1474</v>
      </c>
      <c r="C898" s="126"/>
      <c r="D898" s="126">
        <v>4800</v>
      </c>
      <c r="E898" s="126"/>
      <c r="F898" s="126"/>
      <c r="G898" s="126"/>
      <c r="H898" s="126">
        <v>8</v>
      </c>
      <c r="I898" s="126"/>
      <c r="J898" s="126"/>
    </row>
    <row r="899" spans="1:10">
      <c r="B899" s="342" t="s">
        <v>1457</v>
      </c>
      <c r="C899" s="126"/>
      <c r="D899" s="126">
        <v>4200</v>
      </c>
      <c r="E899" s="126"/>
      <c r="F899" s="126"/>
      <c r="G899" s="126"/>
      <c r="H899" s="126">
        <v>8</v>
      </c>
      <c r="I899" s="126"/>
      <c r="J899" s="126"/>
    </row>
    <row r="900" spans="1:10">
      <c r="B900" s="342" t="s">
        <v>1638</v>
      </c>
      <c r="C900" s="126">
        <v>2100</v>
      </c>
      <c r="D900" s="126"/>
      <c r="E900" s="126"/>
      <c r="F900" s="126">
        <v>1400</v>
      </c>
      <c r="G900" s="126"/>
      <c r="H900" s="126">
        <v>8</v>
      </c>
      <c r="I900" s="126"/>
      <c r="J900" s="126"/>
    </row>
    <row r="901" spans="1:10">
      <c r="B901" s="342" t="s">
        <v>1459</v>
      </c>
      <c r="C901" s="126"/>
      <c r="D901" s="126">
        <v>4200</v>
      </c>
      <c r="E901" s="126"/>
      <c r="F901" s="126"/>
      <c r="G901" s="126"/>
      <c r="H901" s="126">
        <v>8</v>
      </c>
      <c r="I901" s="126"/>
      <c r="J901" s="126"/>
    </row>
    <row r="902" spans="1:10">
      <c r="B902" s="342" t="s">
        <v>1530</v>
      </c>
      <c r="C902" s="126"/>
      <c r="D902" s="126">
        <v>4200</v>
      </c>
      <c r="E902" s="126"/>
      <c r="F902" s="126"/>
      <c r="G902" s="126"/>
      <c r="H902" s="126">
        <v>8</v>
      </c>
      <c r="I902" s="126"/>
      <c r="J902" s="126"/>
    </row>
    <row r="903" spans="1:10">
      <c r="B903" s="342" t="s">
        <v>1460</v>
      </c>
      <c r="C903" s="126"/>
      <c r="D903" s="126">
        <v>1500</v>
      </c>
      <c r="E903" s="126"/>
      <c r="F903" s="126"/>
      <c r="G903" s="126"/>
      <c r="H903" s="126">
        <v>8</v>
      </c>
      <c r="I903" s="126"/>
      <c r="J903" s="126"/>
    </row>
    <row r="904" spans="1:10">
      <c r="B904" s="342" t="s">
        <v>1652</v>
      </c>
      <c r="C904" s="126"/>
      <c r="D904" s="126">
        <v>3600</v>
      </c>
      <c r="E904" s="126"/>
      <c r="F904" s="126"/>
      <c r="G904" s="126"/>
      <c r="H904" s="126">
        <v>8</v>
      </c>
      <c r="I904" s="126"/>
      <c r="J904" s="126"/>
    </row>
    <row r="905" spans="1:10">
      <c r="A905" s="101">
        <v>45958</v>
      </c>
      <c r="B905" s="342" t="s">
        <v>1450</v>
      </c>
      <c r="C905" s="126"/>
      <c r="D905" s="126">
        <v>2370</v>
      </c>
      <c r="E905" s="126"/>
      <c r="F905" s="126"/>
      <c r="G905" s="126"/>
      <c r="H905" s="126">
        <v>8</v>
      </c>
      <c r="I905" s="126"/>
      <c r="J905" s="126"/>
    </row>
    <row r="906" spans="1:10">
      <c r="B906" s="342" t="s">
        <v>1653</v>
      </c>
      <c r="C906" s="126"/>
      <c r="D906" s="126">
        <v>3866</v>
      </c>
      <c r="E906" s="126"/>
      <c r="F906" s="126"/>
      <c r="G906" s="126"/>
      <c r="H906" s="126">
        <v>8</v>
      </c>
      <c r="I906" s="126"/>
      <c r="J906" s="126"/>
    </row>
    <row r="907" spans="1:10">
      <c r="B907" s="342" t="s">
        <v>1035</v>
      </c>
      <c r="C907" s="126"/>
      <c r="D907" s="126">
        <v>949.08</v>
      </c>
      <c r="E907" s="126"/>
      <c r="F907" s="126"/>
      <c r="G907" s="126"/>
      <c r="H907" s="126">
        <v>8</v>
      </c>
      <c r="I907" s="126"/>
      <c r="J907" s="126"/>
    </row>
    <row r="908" spans="1:10">
      <c r="A908" s="101">
        <v>45959</v>
      </c>
      <c r="B908" s="342" t="s">
        <v>1488</v>
      </c>
      <c r="C908" s="126"/>
      <c r="D908" s="126">
        <v>1000</v>
      </c>
      <c r="E908" s="126"/>
      <c r="F908" s="126"/>
      <c r="G908" s="126"/>
      <c r="H908" s="126">
        <v>9</v>
      </c>
      <c r="I908" s="126"/>
      <c r="J908" s="126"/>
    </row>
    <row r="909" spans="1:10">
      <c r="A909" s="342"/>
      <c r="B909" s="342" t="s">
        <v>1654</v>
      </c>
      <c r="C909" s="126"/>
      <c r="D909" s="126"/>
      <c r="E909" s="126"/>
      <c r="F909" s="126"/>
      <c r="G909" s="126">
        <v>400</v>
      </c>
      <c r="H909" s="126">
        <v>10</v>
      </c>
      <c r="I909" s="126"/>
      <c r="J909" s="126"/>
    </row>
    <row r="910" spans="1:10">
      <c r="A910" s="101">
        <v>45960</v>
      </c>
      <c r="B910" s="342" t="s">
        <v>1655</v>
      </c>
      <c r="C910" s="126">
        <v>1000</v>
      </c>
      <c r="D910" s="126"/>
      <c r="E910" s="126"/>
      <c r="F910" s="126"/>
      <c r="G910" s="126"/>
      <c r="H910" s="126">
        <v>8</v>
      </c>
      <c r="I910" s="126"/>
      <c r="J910" s="126"/>
    </row>
    <row r="911" spans="1:10">
      <c r="A911" s="342"/>
      <c r="B911" s="342" t="s">
        <v>1035</v>
      </c>
      <c r="C911" s="126"/>
      <c r="D911" s="126">
        <v>9547.85</v>
      </c>
      <c r="E911" s="126"/>
      <c r="F911" s="126"/>
      <c r="G911" s="126"/>
      <c r="H911" s="126">
        <v>8</v>
      </c>
      <c r="I911" s="126"/>
      <c r="J911" s="126"/>
    </row>
    <row r="912" spans="1:10">
      <c r="A912" s="342"/>
      <c r="B912" s="342" t="s">
        <v>1035</v>
      </c>
      <c r="D912" s="126">
        <v>217.55</v>
      </c>
      <c r="H912" s="126">
        <v>8</v>
      </c>
    </row>
    <row r="913" spans="1:10">
      <c r="A913" s="101">
        <v>45961</v>
      </c>
      <c r="B913" s="126" t="s">
        <v>1656</v>
      </c>
      <c r="C913" s="17">
        <v>10000</v>
      </c>
      <c r="D913" s="23">
        <v>6500</v>
      </c>
      <c r="H913" s="126">
        <v>6</v>
      </c>
    </row>
    <row r="914" spans="1:10">
      <c r="A914" s="342"/>
      <c r="B914" s="14" t="s">
        <v>749</v>
      </c>
      <c r="C914" s="126">
        <v>6500</v>
      </c>
      <c r="D914" s="126"/>
      <c r="H914" s="126">
        <v>3</v>
      </c>
    </row>
    <row r="915" spans="1:10">
      <c r="A915" s="370" t="s">
        <v>1621</v>
      </c>
      <c r="B915" s="370" t="s">
        <v>960</v>
      </c>
      <c r="C915" s="371">
        <f>SUM(C821:C914)</f>
        <v>43467.43</v>
      </c>
      <c r="D915" s="372">
        <f>SUM(D821:D913)</f>
        <v>252178.93</v>
      </c>
      <c r="E915" s="373"/>
      <c r="F915" s="371">
        <f>SUM(F821:F914)</f>
        <v>5299.1399999999994</v>
      </c>
      <c r="G915" s="371">
        <f>SUM(G821:G914)</f>
        <v>77989.59</v>
      </c>
      <c r="H915" s="374"/>
      <c r="I915" s="372">
        <f>SUM(C915:G915)</f>
        <v>378935.08999999997</v>
      </c>
    </row>
    <row r="916" spans="1:10" ht="15.75" thickBot="1">
      <c r="A916" s="377" t="s">
        <v>854</v>
      </c>
      <c r="B916" s="375"/>
      <c r="C916" s="246"/>
      <c r="D916" s="246"/>
      <c r="E916" s="246"/>
      <c r="F916" s="246"/>
      <c r="G916" s="246"/>
      <c r="H916" s="376"/>
      <c r="I916" s="246"/>
    </row>
    <row r="917" spans="1:10">
      <c r="A917" s="101">
        <v>45962</v>
      </c>
      <c r="B917" s="342" t="s">
        <v>1657</v>
      </c>
      <c r="H917" s="352"/>
    </row>
    <row r="918" spans="1:10">
      <c r="A918" s="342"/>
      <c r="B918" s="342" t="s">
        <v>1474</v>
      </c>
      <c r="C918" s="126"/>
      <c r="D918" s="126">
        <v>4000</v>
      </c>
      <c r="E918" s="126"/>
      <c r="F918" s="126"/>
      <c r="G918" s="126"/>
      <c r="H918" s="126">
        <v>8</v>
      </c>
      <c r="I918" s="126"/>
      <c r="J918" s="126"/>
    </row>
    <row r="919" spans="1:10">
      <c r="A919" s="342"/>
      <c r="B919" s="342" t="s">
        <v>1457</v>
      </c>
      <c r="C919" s="126"/>
      <c r="D919" s="126">
        <v>3500</v>
      </c>
      <c r="E919" s="126"/>
      <c r="F919" s="126"/>
      <c r="G919" s="126"/>
      <c r="H919" s="126">
        <v>8</v>
      </c>
      <c r="I919" s="126"/>
      <c r="J919" s="126"/>
    </row>
    <row r="920" spans="1:10">
      <c r="A920" s="342"/>
      <c r="B920" s="342" t="s">
        <v>1458</v>
      </c>
      <c r="C920" s="126"/>
      <c r="D920" s="126">
        <v>2100</v>
      </c>
      <c r="E920" s="126"/>
      <c r="F920" s="126"/>
      <c r="G920" s="126"/>
      <c r="H920" s="126">
        <v>8</v>
      </c>
      <c r="I920" s="126"/>
      <c r="J920" s="126"/>
    </row>
    <row r="921" spans="1:10">
      <c r="A921" s="342"/>
      <c r="B921" s="342" t="s">
        <v>1459</v>
      </c>
      <c r="C921" s="126"/>
      <c r="D921" s="126">
        <v>4200</v>
      </c>
      <c r="E921" s="126"/>
      <c r="F921" s="126"/>
      <c r="G921" s="126"/>
      <c r="H921" s="126">
        <v>8</v>
      </c>
      <c r="I921" s="126"/>
      <c r="J921" s="126"/>
    </row>
    <row r="922" spans="1:10">
      <c r="A922" s="342"/>
      <c r="B922" s="342" t="s">
        <v>1530</v>
      </c>
      <c r="C922" s="126"/>
      <c r="D922" s="126">
        <v>4200</v>
      </c>
      <c r="E922" s="126"/>
      <c r="F922" s="126"/>
      <c r="G922" s="126"/>
      <c r="H922" s="126">
        <v>8</v>
      </c>
      <c r="I922" s="126"/>
      <c r="J922" s="126"/>
    </row>
    <row r="923" spans="1:10">
      <c r="A923" s="342"/>
      <c r="B923" s="342" t="s">
        <v>1461</v>
      </c>
      <c r="C923" s="126"/>
      <c r="D923" s="126">
        <v>3000</v>
      </c>
      <c r="E923" s="126"/>
      <c r="F923" s="126"/>
      <c r="G923" s="126"/>
      <c r="H923" s="126">
        <v>8</v>
      </c>
      <c r="I923" s="126"/>
      <c r="J923" s="126"/>
    </row>
    <row r="924" spans="1:10">
      <c r="A924" s="342"/>
      <c r="B924" s="342" t="s">
        <v>1658</v>
      </c>
      <c r="C924" s="126"/>
      <c r="D924" s="126">
        <v>1200</v>
      </c>
      <c r="E924" s="126"/>
      <c r="F924" s="126"/>
      <c r="G924" s="126"/>
      <c r="H924" s="126">
        <v>8</v>
      </c>
      <c r="I924" s="126"/>
      <c r="J924" s="126"/>
    </row>
    <row r="925" spans="1:10">
      <c r="A925" s="342"/>
      <c r="B925" s="342" t="s">
        <v>1659</v>
      </c>
      <c r="C925" s="126"/>
      <c r="D925" s="126"/>
      <c r="E925" s="126"/>
      <c r="F925" s="126"/>
      <c r="G925" s="126">
        <v>1500</v>
      </c>
      <c r="H925" s="126">
        <v>10</v>
      </c>
      <c r="I925" s="126"/>
      <c r="J925" s="126"/>
    </row>
    <row r="926" spans="1:10">
      <c r="A926" s="342"/>
      <c r="B926" s="342" t="s">
        <v>1660</v>
      </c>
      <c r="C926" s="126"/>
      <c r="D926" s="126"/>
      <c r="E926" s="126"/>
      <c r="F926" s="126"/>
      <c r="G926" s="126">
        <v>500</v>
      </c>
      <c r="H926" s="126">
        <v>10</v>
      </c>
      <c r="I926" s="126"/>
      <c r="J926" s="126"/>
    </row>
    <row r="927" spans="1:10">
      <c r="A927" s="101">
        <v>45963</v>
      </c>
      <c r="B927" s="342" t="s">
        <v>1488</v>
      </c>
      <c r="C927" s="126"/>
      <c r="D927" s="126">
        <v>1000</v>
      </c>
      <c r="E927" s="126"/>
      <c r="F927" s="126"/>
      <c r="G927" s="126"/>
      <c r="H927" s="126">
        <v>9</v>
      </c>
      <c r="I927" s="126"/>
      <c r="J927" s="126"/>
    </row>
    <row r="928" spans="1:10">
      <c r="A928" s="101">
        <v>45964</v>
      </c>
      <c r="B928" s="342" t="s">
        <v>1661</v>
      </c>
      <c r="C928" s="126">
        <v>530</v>
      </c>
      <c r="D928" s="126"/>
      <c r="E928" s="126"/>
      <c r="F928" s="126"/>
      <c r="G928" s="126"/>
      <c r="H928" s="126">
        <v>5</v>
      </c>
      <c r="I928" s="126"/>
      <c r="J928" s="126"/>
    </row>
    <row r="929" spans="1:12">
      <c r="A929" s="342"/>
      <c r="B929" s="342" t="s">
        <v>1662</v>
      </c>
      <c r="C929" s="126">
        <v>714</v>
      </c>
      <c r="D929" s="126"/>
      <c r="E929" s="126"/>
      <c r="F929" s="126"/>
      <c r="G929" s="126"/>
      <c r="H929" s="126">
        <v>7</v>
      </c>
      <c r="I929" s="126"/>
      <c r="J929" s="126"/>
    </row>
    <row r="930" spans="1:12">
      <c r="A930" s="342"/>
      <c r="B930" s="342" t="s">
        <v>1663</v>
      </c>
      <c r="C930" s="126">
        <v>7980.96</v>
      </c>
      <c r="D930" s="126">
        <v>3053.1</v>
      </c>
      <c r="E930" s="126"/>
      <c r="F930" s="126"/>
      <c r="G930" s="126"/>
      <c r="H930" s="126">
        <v>7</v>
      </c>
      <c r="I930" s="126"/>
      <c r="J930" s="349" t="s">
        <v>854</v>
      </c>
      <c r="K930" s="54" t="s">
        <v>661</v>
      </c>
    </row>
    <row r="931" spans="1:12">
      <c r="A931" s="342"/>
      <c r="B931" s="342" t="s">
        <v>1664</v>
      </c>
      <c r="C931" s="126">
        <v>43.29</v>
      </c>
      <c r="D931" s="126"/>
      <c r="E931" s="126"/>
      <c r="F931" s="126"/>
      <c r="G931" s="126"/>
      <c r="H931" s="126">
        <v>7</v>
      </c>
      <c r="I931" s="126"/>
      <c r="J931" s="53" t="s">
        <v>613</v>
      </c>
      <c r="K931" s="54"/>
      <c r="L931" s="126">
        <f>SUM(L832,K931)</f>
        <v>5134.75</v>
      </c>
    </row>
    <row r="932" spans="1:12">
      <c r="B932" s="342" t="s">
        <v>1665</v>
      </c>
      <c r="C932" s="126">
        <v>52.52</v>
      </c>
      <c r="D932" s="126"/>
      <c r="E932" s="126"/>
      <c r="F932" s="126"/>
      <c r="G932" s="126"/>
      <c r="H932" s="126">
        <v>7</v>
      </c>
      <c r="I932" s="126"/>
      <c r="J932" s="55" t="s">
        <v>615</v>
      </c>
      <c r="K932" s="54">
        <f>SUM(C949,G996,G997,G998,C999)</f>
        <v>64601.5</v>
      </c>
      <c r="L932" s="126">
        <f>SUM(L833,K932)</f>
        <v>271489.03000000003</v>
      </c>
    </row>
    <row r="933" spans="1:12">
      <c r="A933" s="101">
        <v>45965</v>
      </c>
      <c r="B933" s="342" t="s">
        <v>1666</v>
      </c>
      <c r="C933" s="126"/>
      <c r="D933" s="126"/>
      <c r="E933" s="126"/>
      <c r="F933" s="126"/>
      <c r="G933" s="126"/>
      <c r="H933" s="126"/>
      <c r="I933" s="126"/>
      <c r="J933" s="56" t="s">
        <v>617</v>
      </c>
      <c r="K933" s="54">
        <f>SUM(C1013)</f>
        <v>6500</v>
      </c>
      <c r="L933" s="126">
        <f>SUM(L834,K933)</f>
        <v>71500</v>
      </c>
    </row>
    <row r="934" spans="1:12">
      <c r="A934" s="342"/>
      <c r="B934" s="342" t="s">
        <v>1463</v>
      </c>
      <c r="C934" s="126"/>
      <c r="D934" s="126">
        <v>1000</v>
      </c>
      <c r="E934" s="126"/>
      <c r="F934" s="126"/>
      <c r="G934" s="126"/>
      <c r="H934" s="126">
        <v>10</v>
      </c>
      <c r="I934" s="126"/>
      <c r="J934" s="57" t="s">
        <v>619</v>
      </c>
      <c r="K934" s="54"/>
      <c r="L934" s="126">
        <f t="shared" ref="L934" si="10">SUM(L817,K934)</f>
        <v>0</v>
      </c>
    </row>
    <row r="935" spans="1:12">
      <c r="A935" s="342"/>
      <c r="B935" s="342" t="s">
        <v>1667</v>
      </c>
      <c r="C935" s="126"/>
      <c r="D935" s="126">
        <v>1000</v>
      </c>
      <c r="E935" s="126"/>
      <c r="F935" s="126"/>
      <c r="G935" s="126"/>
      <c r="H935" s="126">
        <v>10</v>
      </c>
      <c r="I935" s="126"/>
      <c r="J935" s="58" t="s">
        <v>621</v>
      </c>
      <c r="K935" s="54">
        <f>SUM(C928)</f>
        <v>530</v>
      </c>
      <c r="L935" s="126">
        <f t="shared" ref="L935:L943" si="11">SUM(L836,K935)</f>
        <v>17530</v>
      </c>
    </row>
    <row r="936" spans="1:12">
      <c r="A936" s="342"/>
      <c r="B936" s="342" t="s">
        <v>1668</v>
      </c>
      <c r="C936" s="126"/>
      <c r="D936" s="126">
        <v>1000</v>
      </c>
      <c r="E936" s="126"/>
      <c r="F936" s="126"/>
      <c r="G936" s="126"/>
      <c r="H936" s="126">
        <v>10</v>
      </c>
      <c r="I936" s="126"/>
      <c r="J936" s="54" t="s">
        <v>623</v>
      </c>
      <c r="K936" s="54">
        <f>SUM(C1012,D1012)</f>
        <v>16500</v>
      </c>
      <c r="L936" s="126">
        <f t="shared" si="11"/>
        <v>181500</v>
      </c>
    </row>
    <row r="937" spans="1:12">
      <c r="A937" s="342"/>
      <c r="B937" s="342" t="s">
        <v>1450</v>
      </c>
      <c r="C937" s="126"/>
      <c r="D937" s="126">
        <v>1500</v>
      </c>
      <c r="E937" s="126"/>
      <c r="F937" s="126"/>
      <c r="G937" s="126"/>
      <c r="H937" s="126">
        <v>8</v>
      </c>
      <c r="I937" s="126"/>
      <c r="J937" s="54" t="s">
        <v>625</v>
      </c>
      <c r="K937" s="54">
        <f>SUM(C981)</f>
        <v>1500</v>
      </c>
      <c r="L937" s="126">
        <f t="shared" si="11"/>
        <v>7500</v>
      </c>
    </row>
    <row r="938" spans="1:12">
      <c r="A938" s="101">
        <v>45966</v>
      </c>
      <c r="B938" s="342" t="s">
        <v>1669</v>
      </c>
      <c r="C938" s="126"/>
      <c r="D938" s="126"/>
      <c r="E938" s="126"/>
      <c r="F938" s="126"/>
      <c r="G938" s="126"/>
      <c r="H938" s="126"/>
      <c r="I938" s="126"/>
      <c r="J938" s="54" t="s">
        <v>627</v>
      </c>
      <c r="K938" s="54">
        <f>SUM(C982)</f>
        <v>760</v>
      </c>
      <c r="L938" s="126">
        <f t="shared" si="11"/>
        <v>8170</v>
      </c>
    </row>
    <row r="939" spans="1:12">
      <c r="A939" s="342"/>
      <c r="B939" s="342" t="s">
        <v>1670</v>
      </c>
      <c r="C939" s="342"/>
      <c r="D939" s="342"/>
      <c r="E939" s="342"/>
      <c r="F939" s="342"/>
      <c r="G939" s="126">
        <v>5000</v>
      </c>
      <c r="H939" s="342">
        <v>10</v>
      </c>
      <c r="I939" s="342"/>
      <c r="J939" s="54" t="s">
        <v>629</v>
      </c>
      <c r="K939" s="54">
        <f>SUM(G930)</f>
        <v>0</v>
      </c>
      <c r="L939" s="126">
        <f t="shared" si="11"/>
        <v>40000</v>
      </c>
    </row>
    <row r="940" spans="1:12">
      <c r="A940" s="342"/>
      <c r="B940" s="342" t="s">
        <v>1668</v>
      </c>
      <c r="C940" s="342"/>
      <c r="D940" s="126"/>
      <c r="E940" s="126"/>
      <c r="F940" s="126"/>
      <c r="G940" s="126">
        <v>1000</v>
      </c>
      <c r="H940" s="126">
        <v>10</v>
      </c>
      <c r="I940" s="126"/>
      <c r="J940" s="54" t="s">
        <v>631</v>
      </c>
      <c r="K940" s="54">
        <f>SUM(C929,C930,D930,C931,C932)</f>
        <v>11843.87</v>
      </c>
      <c r="L940" s="126">
        <f t="shared" si="11"/>
        <v>143586.74000000002</v>
      </c>
    </row>
    <row r="941" spans="1:12">
      <c r="A941" s="342"/>
      <c r="B941" s="342" t="s">
        <v>1671</v>
      </c>
      <c r="C941" s="342"/>
      <c r="D941" s="126"/>
      <c r="E941" s="126"/>
      <c r="F941" s="126"/>
      <c r="G941" s="126">
        <v>1000</v>
      </c>
      <c r="H941" s="126">
        <v>10</v>
      </c>
      <c r="I941" s="126"/>
      <c r="J941" s="54" t="s">
        <v>634</v>
      </c>
      <c r="K941" s="54">
        <f>SUM(D918,D919,D920,D921,D922,D923,D924,D937,D945,D946,D947,D948,D950,D951,D952,D953,D954,D956,D957,D958:D961,C962,D963,D964,D966,D967,D968,D969,D970,D971,D973:D979,D983:D988,D990:D995,D1000,E1001,C1002,E1003,C1004,D1004,D1006,C1007,D1008,E1009,D1010,D1011)</f>
        <v>217312.39</v>
      </c>
      <c r="L941" s="126">
        <f t="shared" si="11"/>
        <v>1157549.73</v>
      </c>
    </row>
    <row r="942" spans="1:12">
      <c r="A942" s="342"/>
      <c r="B942" s="342" t="s">
        <v>1672</v>
      </c>
      <c r="C942" s="342"/>
      <c r="D942" s="126"/>
      <c r="E942" s="126"/>
      <c r="F942" s="126"/>
      <c r="G942" s="126">
        <v>1000</v>
      </c>
      <c r="H942" s="126">
        <v>10</v>
      </c>
      <c r="I942" s="126"/>
      <c r="J942" s="54" t="s">
        <v>636</v>
      </c>
      <c r="K942" s="63">
        <f>SUM(D927,D965)</f>
        <v>2000</v>
      </c>
      <c r="L942" s="126">
        <f t="shared" si="11"/>
        <v>25095.75</v>
      </c>
    </row>
    <row r="943" spans="1:12">
      <c r="A943" s="342"/>
      <c r="B943" s="342" t="s">
        <v>1673</v>
      </c>
      <c r="C943" s="342"/>
      <c r="D943" s="126"/>
      <c r="E943" s="126"/>
      <c r="F943" s="126"/>
      <c r="G943" s="126">
        <v>500</v>
      </c>
      <c r="H943" s="126">
        <v>10</v>
      </c>
      <c r="I943" s="126"/>
      <c r="J943" s="54" t="s">
        <v>638</v>
      </c>
      <c r="K943" s="54">
        <f>SUM(G925,G926,D934:D936,G940:G944,D980,G939)</f>
        <v>16050</v>
      </c>
      <c r="L943" s="126">
        <f t="shared" si="11"/>
        <v>1076997.67</v>
      </c>
    </row>
    <row r="944" spans="1:12" ht="15.75" thickBot="1">
      <c r="A944" s="342"/>
      <c r="B944" s="342" t="s">
        <v>1674</v>
      </c>
      <c r="C944" s="342"/>
      <c r="D944" s="126"/>
      <c r="E944" s="126"/>
      <c r="F944" s="126"/>
      <c r="G944" s="126">
        <v>200</v>
      </c>
      <c r="H944" s="126">
        <v>10</v>
      </c>
      <c r="I944" s="126"/>
      <c r="J944" s="172" t="s">
        <v>854</v>
      </c>
      <c r="K944" s="361">
        <f>SUM(K931:K943)</f>
        <v>337597.76</v>
      </c>
      <c r="L944" s="358">
        <f>SUM(L931:L943)</f>
        <v>3006053.67</v>
      </c>
    </row>
    <row r="945" spans="1:12" ht="15.75" thickTop="1">
      <c r="A945" s="342"/>
      <c r="B945" s="342" t="s">
        <v>1675</v>
      </c>
      <c r="C945" s="342"/>
      <c r="D945" s="126">
        <v>1895</v>
      </c>
      <c r="E945" s="126"/>
      <c r="F945" s="126"/>
      <c r="G945" s="126"/>
      <c r="H945" s="126">
        <v>8</v>
      </c>
      <c r="I945" s="126"/>
      <c r="J945" s="343"/>
      <c r="K945" s="362"/>
      <c r="L945" s="358">
        <f>SUM(L846,K944)</f>
        <v>3006053.67</v>
      </c>
    </row>
    <row r="946" spans="1:12">
      <c r="A946" s="342"/>
      <c r="B946" s="342" t="s">
        <v>1675</v>
      </c>
      <c r="C946" s="342"/>
      <c r="D946" s="126">
        <v>4825</v>
      </c>
      <c r="E946" s="126"/>
      <c r="F946" s="126"/>
      <c r="G946" s="126"/>
      <c r="H946" s="126">
        <v>8</v>
      </c>
      <c r="I946" s="126"/>
      <c r="J946" s="126"/>
      <c r="K946" s="352"/>
    </row>
    <row r="947" spans="1:12">
      <c r="A947" s="342"/>
      <c r="B947" s="342" t="s">
        <v>1035</v>
      </c>
      <c r="C947" s="342"/>
      <c r="D947" s="126">
        <v>1129.2</v>
      </c>
      <c r="E947" s="126"/>
      <c r="F947" s="126"/>
      <c r="G947" s="126"/>
      <c r="H947" s="126">
        <v>8</v>
      </c>
      <c r="I947" s="126"/>
      <c r="J947" s="126"/>
      <c r="K947" s="352"/>
    </row>
    <row r="948" spans="1:12">
      <c r="A948" s="101">
        <v>45967</v>
      </c>
      <c r="B948" s="342" t="s">
        <v>1035</v>
      </c>
      <c r="C948" s="342"/>
      <c r="D948" s="126">
        <v>6757.5</v>
      </c>
      <c r="E948" s="126"/>
      <c r="F948" s="126"/>
      <c r="G948" s="126"/>
      <c r="H948" s="126">
        <v>8</v>
      </c>
      <c r="I948" s="126"/>
      <c r="J948" s="126"/>
      <c r="K948" s="352"/>
    </row>
    <row r="949" spans="1:12">
      <c r="A949" s="342"/>
      <c r="B949" s="342" t="s">
        <v>1676</v>
      </c>
      <c r="C949" s="126">
        <v>3168.9</v>
      </c>
      <c r="D949" s="126"/>
      <c r="E949" s="126"/>
      <c r="F949" s="126"/>
      <c r="G949" s="126"/>
      <c r="H949" s="126">
        <v>2</v>
      </c>
      <c r="I949" s="126"/>
      <c r="J949" s="126"/>
      <c r="K949" s="352"/>
    </row>
    <row r="950" spans="1:12">
      <c r="A950" s="101">
        <v>45968</v>
      </c>
      <c r="B950" s="342" t="s">
        <v>1450</v>
      </c>
      <c r="C950" s="342"/>
      <c r="D950" s="126">
        <v>1589</v>
      </c>
      <c r="E950" s="126"/>
      <c r="F950" s="126"/>
      <c r="G950" s="126"/>
      <c r="H950" s="126">
        <v>8</v>
      </c>
      <c r="I950" s="126"/>
      <c r="J950" s="126"/>
      <c r="K950" s="352"/>
    </row>
    <row r="951" spans="1:12">
      <c r="A951" s="342"/>
      <c r="B951" s="342" t="s">
        <v>1034</v>
      </c>
      <c r="C951" s="342"/>
      <c r="D951" s="126">
        <v>8095</v>
      </c>
      <c r="E951" s="126"/>
      <c r="F951" s="126"/>
      <c r="G951" s="126"/>
      <c r="H951" s="126">
        <v>8</v>
      </c>
      <c r="I951" s="126"/>
      <c r="J951" s="126"/>
      <c r="K951" s="352"/>
    </row>
    <row r="952" spans="1:12">
      <c r="A952" s="342"/>
      <c r="B952" s="342" t="s">
        <v>1035</v>
      </c>
      <c r="C952" s="342"/>
      <c r="D952" s="126">
        <v>2167.5</v>
      </c>
      <c r="E952" s="126"/>
      <c r="F952" s="126"/>
      <c r="G952" s="126"/>
      <c r="H952" s="126">
        <v>8</v>
      </c>
      <c r="I952" s="126"/>
      <c r="J952" s="126"/>
      <c r="K952" s="352"/>
    </row>
    <row r="953" spans="1:12">
      <c r="A953" s="101">
        <v>45969</v>
      </c>
      <c r="B953" s="342" t="s">
        <v>1035</v>
      </c>
      <c r="C953" s="342"/>
      <c r="D953" s="126">
        <v>6751.5</v>
      </c>
      <c r="E953" s="126"/>
      <c r="F953" s="126"/>
      <c r="G953" s="126"/>
      <c r="H953" s="126">
        <v>8</v>
      </c>
      <c r="I953" s="126"/>
      <c r="J953" s="126"/>
      <c r="K953" s="352"/>
    </row>
    <row r="954" spans="1:12">
      <c r="A954" s="342"/>
      <c r="B954" s="342" t="s">
        <v>1035</v>
      </c>
      <c r="C954" s="342"/>
      <c r="D954" s="126">
        <v>2090.64</v>
      </c>
      <c r="E954" s="126"/>
      <c r="F954" s="126"/>
      <c r="G954" s="126"/>
      <c r="H954" s="126">
        <v>8</v>
      </c>
      <c r="I954" s="126"/>
      <c r="J954" s="126"/>
      <c r="K954" s="352"/>
    </row>
    <row r="955" spans="1:12">
      <c r="A955" s="378"/>
      <c r="B955" s="342" t="s">
        <v>1677</v>
      </c>
      <c r="D955" s="352"/>
      <c r="E955" s="352"/>
      <c r="F955" s="352"/>
      <c r="G955" s="352"/>
      <c r="H955" s="352"/>
      <c r="I955" s="352"/>
      <c r="J955" s="352"/>
      <c r="K955" s="352"/>
    </row>
    <row r="956" spans="1:12">
      <c r="B956" s="342" t="s">
        <v>1474</v>
      </c>
      <c r="C956" s="342"/>
      <c r="D956" s="126">
        <v>4800</v>
      </c>
      <c r="E956" s="126"/>
      <c r="F956" s="126"/>
      <c r="G956" s="126"/>
      <c r="H956" s="126">
        <v>8</v>
      </c>
      <c r="I956" s="126"/>
      <c r="J956" s="126"/>
      <c r="K956" s="352"/>
    </row>
    <row r="957" spans="1:12">
      <c r="B957" s="342" t="s">
        <v>1457</v>
      </c>
      <c r="C957" s="342"/>
      <c r="D957" s="126">
        <v>4200</v>
      </c>
      <c r="E957" s="126"/>
      <c r="F957" s="126"/>
      <c r="G957" s="126"/>
      <c r="H957" s="126">
        <v>8</v>
      </c>
      <c r="I957" s="126"/>
      <c r="J957" s="126"/>
      <c r="K957" s="352"/>
    </row>
    <row r="958" spans="1:12">
      <c r="B958" s="342" t="s">
        <v>1458</v>
      </c>
      <c r="C958" s="342"/>
      <c r="D958" s="126">
        <v>2450</v>
      </c>
      <c r="E958" s="126"/>
      <c r="F958" s="126"/>
      <c r="G958" s="126"/>
      <c r="H958" s="126">
        <v>8</v>
      </c>
      <c r="I958" s="126"/>
      <c r="J958" s="126"/>
      <c r="K958" s="352"/>
    </row>
    <row r="959" spans="1:12">
      <c r="B959" s="342" t="s">
        <v>1459</v>
      </c>
      <c r="C959" s="342"/>
      <c r="D959" s="126">
        <v>4200</v>
      </c>
      <c r="E959" s="126"/>
      <c r="F959" s="126"/>
      <c r="G959" s="126"/>
      <c r="H959" s="126">
        <v>8</v>
      </c>
      <c r="I959" s="126"/>
      <c r="J959" s="126"/>
      <c r="K959" s="352"/>
    </row>
    <row r="960" spans="1:12">
      <c r="B960" s="342" t="s">
        <v>1530</v>
      </c>
      <c r="C960" s="342"/>
      <c r="D960" s="126">
        <v>3150</v>
      </c>
      <c r="E960" s="126"/>
      <c r="F960" s="126"/>
      <c r="G960" s="126"/>
      <c r="H960" s="126">
        <v>8</v>
      </c>
      <c r="I960" s="126"/>
      <c r="J960" s="126"/>
      <c r="K960" s="352"/>
    </row>
    <row r="961" spans="1:11">
      <c r="B961" s="342" t="s">
        <v>1461</v>
      </c>
      <c r="C961" s="342"/>
      <c r="D961" s="126">
        <v>3600</v>
      </c>
      <c r="E961" s="126"/>
      <c r="F961" s="126"/>
      <c r="G961" s="126"/>
      <c r="H961" s="126">
        <v>8</v>
      </c>
      <c r="I961" s="126"/>
      <c r="J961" s="126"/>
      <c r="K961" s="352"/>
    </row>
    <row r="962" spans="1:11">
      <c r="A962" s="101">
        <v>45971</v>
      </c>
      <c r="B962" s="342" t="s">
        <v>1678</v>
      </c>
      <c r="C962" s="126">
        <v>350</v>
      </c>
      <c r="D962" s="126"/>
      <c r="E962" s="126"/>
      <c r="F962" s="126"/>
      <c r="G962" s="126"/>
      <c r="H962" s="126">
        <v>8</v>
      </c>
      <c r="I962" s="126"/>
      <c r="J962" s="126"/>
      <c r="K962" s="352"/>
    </row>
    <row r="963" spans="1:11">
      <c r="A963" s="101">
        <v>45972</v>
      </c>
      <c r="B963" s="342" t="s">
        <v>1035</v>
      </c>
      <c r="C963" s="342"/>
      <c r="D963" s="126">
        <v>6591.5</v>
      </c>
      <c r="E963" s="126"/>
      <c r="F963" s="126"/>
      <c r="G963" s="126"/>
      <c r="H963" s="126">
        <v>8</v>
      </c>
      <c r="I963" s="126"/>
      <c r="J963" s="126"/>
      <c r="K963" s="352"/>
    </row>
    <row r="964" spans="1:11">
      <c r="A964" s="342"/>
      <c r="B964" s="342" t="s">
        <v>1034</v>
      </c>
      <c r="C964" s="342"/>
      <c r="D964" s="126">
        <v>9148</v>
      </c>
      <c r="E964" s="126"/>
      <c r="F964" s="126"/>
      <c r="G964" s="126"/>
      <c r="H964" s="126">
        <v>8</v>
      </c>
      <c r="I964" s="126"/>
      <c r="J964" s="126"/>
      <c r="K964" s="352"/>
    </row>
    <row r="965" spans="1:11">
      <c r="A965" s="342"/>
      <c r="B965" s="342" t="s">
        <v>1488</v>
      </c>
      <c r="C965" s="342"/>
      <c r="D965" s="126">
        <v>1000</v>
      </c>
      <c r="E965" s="126"/>
      <c r="F965" s="126"/>
      <c r="G965" s="126"/>
      <c r="H965" s="126">
        <v>9</v>
      </c>
      <c r="I965" s="126"/>
      <c r="J965" s="126"/>
      <c r="K965" s="352"/>
    </row>
    <row r="966" spans="1:11">
      <c r="A966" s="101">
        <v>45973</v>
      </c>
      <c r="B966" s="342" t="s">
        <v>1034</v>
      </c>
      <c r="C966" s="342"/>
      <c r="D966" s="126">
        <v>1000</v>
      </c>
      <c r="E966" s="126"/>
      <c r="F966" s="126"/>
      <c r="G966" s="126"/>
      <c r="H966" s="126">
        <v>8</v>
      </c>
      <c r="I966" s="126"/>
      <c r="J966" s="126"/>
      <c r="K966" s="352"/>
    </row>
    <row r="967" spans="1:11">
      <c r="A967" s="101">
        <v>45975</v>
      </c>
      <c r="B967" s="342" t="s">
        <v>1035</v>
      </c>
      <c r="C967" s="342"/>
      <c r="D967" s="126">
        <v>4913.25</v>
      </c>
      <c r="E967" s="126"/>
      <c r="F967" s="126"/>
      <c r="G967" s="126"/>
      <c r="H967" s="126">
        <v>8</v>
      </c>
      <c r="I967" s="126"/>
      <c r="J967" s="126"/>
      <c r="K967" s="352"/>
    </row>
    <row r="968" spans="1:11">
      <c r="A968" s="342"/>
      <c r="B968" s="342" t="s">
        <v>1450</v>
      </c>
      <c r="C968" s="342"/>
      <c r="D968" s="126">
        <v>3855</v>
      </c>
      <c r="E968" s="126"/>
      <c r="F968" s="126"/>
      <c r="G968" s="126"/>
      <c r="H968" s="126">
        <v>8</v>
      </c>
      <c r="I968" s="126"/>
      <c r="J968" s="126"/>
      <c r="K968" s="352"/>
    </row>
    <row r="969" spans="1:11">
      <c r="A969" s="342"/>
      <c r="B969" s="342" t="s">
        <v>1035</v>
      </c>
      <c r="C969" s="342"/>
      <c r="D969" s="126">
        <v>800</v>
      </c>
      <c r="E969" s="126"/>
      <c r="F969" s="126"/>
      <c r="G969" s="126"/>
      <c r="H969" s="126">
        <v>8</v>
      </c>
      <c r="I969" s="126"/>
      <c r="J969" s="126"/>
      <c r="K969" s="352"/>
    </row>
    <row r="970" spans="1:11">
      <c r="A970" s="342"/>
      <c r="B970" s="342" t="s">
        <v>1679</v>
      </c>
      <c r="C970" s="342"/>
      <c r="D970" s="126">
        <v>16232.8</v>
      </c>
      <c r="E970" s="126"/>
      <c r="F970" s="126"/>
      <c r="G970" s="126"/>
      <c r="H970" s="126">
        <v>8</v>
      </c>
      <c r="I970" s="126"/>
      <c r="J970" s="126"/>
      <c r="K970" s="352"/>
    </row>
    <row r="971" spans="1:11">
      <c r="A971" s="101">
        <v>45976</v>
      </c>
      <c r="B971" s="342" t="s">
        <v>1450</v>
      </c>
      <c r="C971" s="342"/>
      <c r="D971" s="126">
        <v>1850</v>
      </c>
      <c r="E971" s="126"/>
      <c r="F971" s="126"/>
      <c r="G971" s="126"/>
      <c r="H971" s="126">
        <v>8</v>
      </c>
      <c r="I971" s="126"/>
      <c r="J971" s="126"/>
      <c r="K971" s="352"/>
    </row>
    <row r="972" spans="1:11">
      <c r="A972" s="342"/>
      <c r="B972" s="342" t="s">
        <v>1680</v>
      </c>
      <c r="C972" s="342"/>
      <c r="D972" s="126"/>
      <c r="E972" s="126"/>
      <c r="F972" s="126"/>
      <c r="G972" s="126"/>
      <c r="H972" s="126"/>
      <c r="I972" s="126"/>
      <c r="J972" s="126"/>
      <c r="K972" s="352"/>
    </row>
    <row r="973" spans="1:11">
      <c r="A973" s="342"/>
      <c r="B973" s="342" t="s">
        <v>1474</v>
      </c>
      <c r="C973" s="342"/>
      <c r="D973" s="126">
        <v>4000</v>
      </c>
      <c r="E973" s="126"/>
      <c r="F973" s="126"/>
      <c r="G973" s="126"/>
      <c r="H973" s="126">
        <v>8</v>
      </c>
      <c r="I973" s="126"/>
      <c r="J973" s="126"/>
      <c r="K973" s="352"/>
    </row>
    <row r="974" spans="1:11">
      <c r="A974" s="342"/>
      <c r="B974" s="342" t="s">
        <v>1457</v>
      </c>
      <c r="C974" s="342"/>
      <c r="D974" s="126">
        <v>2800</v>
      </c>
      <c r="E974" s="126"/>
      <c r="F974" s="126"/>
      <c r="G974" s="126"/>
      <c r="H974" s="126">
        <v>8</v>
      </c>
      <c r="I974" s="126"/>
      <c r="J974" s="126"/>
      <c r="K974" s="352"/>
    </row>
    <row r="975" spans="1:11">
      <c r="B975" s="342" t="s">
        <v>1458</v>
      </c>
      <c r="C975" s="342"/>
      <c r="D975" s="126">
        <v>2100</v>
      </c>
      <c r="E975" s="126"/>
      <c r="F975" s="126"/>
      <c r="G975" s="126"/>
      <c r="H975" s="126">
        <v>8</v>
      </c>
      <c r="I975" s="126"/>
      <c r="J975" s="126"/>
      <c r="K975" s="352"/>
    </row>
    <row r="976" spans="1:11">
      <c r="B976" s="342" t="s">
        <v>1459</v>
      </c>
      <c r="C976" s="342"/>
      <c r="D976" s="126">
        <v>3500</v>
      </c>
      <c r="E976" s="126"/>
      <c r="F976" s="126"/>
      <c r="G976" s="126"/>
      <c r="H976" s="126">
        <v>8</v>
      </c>
      <c r="I976" s="126"/>
      <c r="J976" s="126"/>
      <c r="K976" s="352"/>
    </row>
    <row r="977" spans="1:11">
      <c r="A977" s="342"/>
      <c r="B977" s="342" t="s">
        <v>1530</v>
      </c>
      <c r="C977" s="342"/>
      <c r="D977" s="126">
        <v>3500</v>
      </c>
      <c r="E977" s="352"/>
      <c r="F977" s="352"/>
      <c r="G977" s="352"/>
      <c r="H977" s="126">
        <v>8</v>
      </c>
      <c r="I977" s="352"/>
      <c r="J977" s="352"/>
      <c r="K977" s="352"/>
    </row>
    <row r="978" spans="1:11">
      <c r="A978" s="342"/>
      <c r="B978" s="342" t="s">
        <v>1461</v>
      </c>
      <c r="C978" s="342"/>
      <c r="D978" s="126">
        <v>3000</v>
      </c>
      <c r="E978" s="352"/>
      <c r="F978" s="352"/>
      <c r="G978" s="352"/>
      <c r="H978" s="126">
        <v>8</v>
      </c>
      <c r="I978" s="352"/>
      <c r="J978" s="352"/>
      <c r="K978" s="352"/>
    </row>
    <row r="979" spans="1:11">
      <c r="A979" s="101">
        <v>45978</v>
      </c>
      <c r="B979" s="342" t="s">
        <v>1035</v>
      </c>
      <c r="C979" s="342"/>
      <c r="D979" s="126">
        <v>1996.5</v>
      </c>
      <c r="E979" s="352"/>
      <c r="F979" s="352"/>
      <c r="G979" s="352"/>
      <c r="H979" s="126">
        <v>8</v>
      </c>
      <c r="I979" s="352"/>
      <c r="J979" s="352"/>
      <c r="K979" s="352"/>
    </row>
    <row r="980" spans="1:11">
      <c r="A980" s="342"/>
      <c r="B980" s="342" t="s">
        <v>1681</v>
      </c>
      <c r="C980" s="342"/>
      <c r="D980" s="126">
        <v>2350</v>
      </c>
      <c r="E980" s="352"/>
      <c r="F980" s="352"/>
      <c r="G980" s="352"/>
      <c r="H980" s="126">
        <v>10</v>
      </c>
      <c r="I980" s="352"/>
      <c r="J980" s="352"/>
      <c r="K980" s="352"/>
    </row>
    <row r="981" spans="1:11">
      <c r="A981" s="101">
        <v>45979</v>
      </c>
      <c r="B981" s="342" t="s">
        <v>1682</v>
      </c>
      <c r="C981" s="126">
        <v>1500</v>
      </c>
      <c r="D981" s="126"/>
      <c r="E981" s="352"/>
      <c r="F981" s="352"/>
      <c r="G981" s="352"/>
      <c r="H981" s="126" t="s">
        <v>680</v>
      </c>
      <c r="I981" s="352"/>
      <c r="J981" s="352"/>
      <c r="K981" s="352"/>
    </row>
    <row r="982" spans="1:11">
      <c r="A982" s="342"/>
      <c r="B982" s="342" t="s">
        <v>1683</v>
      </c>
      <c r="C982" s="126">
        <v>760</v>
      </c>
      <c r="D982" s="126"/>
      <c r="E982" s="352"/>
      <c r="F982" s="352"/>
      <c r="G982" s="352"/>
      <c r="H982" s="126" t="s">
        <v>648</v>
      </c>
      <c r="I982" s="352"/>
      <c r="J982" s="352"/>
      <c r="K982" s="352"/>
    </row>
    <row r="983" spans="1:11">
      <c r="A983" s="101">
        <v>45981</v>
      </c>
      <c r="B983" s="342" t="s">
        <v>1450</v>
      </c>
      <c r="C983" s="126"/>
      <c r="D983" s="126">
        <v>425</v>
      </c>
      <c r="E983" s="352"/>
      <c r="F983" s="352"/>
      <c r="G983" s="352"/>
      <c r="H983" s="126">
        <v>8</v>
      </c>
      <c r="I983" s="352"/>
      <c r="J983" s="352"/>
      <c r="K983" s="352"/>
    </row>
    <row r="984" spans="1:11">
      <c r="A984" s="101">
        <v>45982</v>
      </c>
      <c r="B984" s="342" t="s">
        <v>1035</v>
      </c>
      <c r="C984" s="126"/>
      <c r="D984" s="126">
        <v>3361</v>
      </c>
      <c r="E984" s="352"/>
      <c r="F984" s="352"/>
      <c r="G984" s="352"/>
      <c r="H984" s="126">
        <v>8</v>
      </c>
      <c r="I984" s="352"/>
      <c r="J984" s="352"/>
      <c r="K984" s="352"/>
    </row>
    <row r="985" spans="1:11">
      <c r="A985" s="342"/>
      <c r="B985" s="342" t="s">
        <v>1035</v>
      </c>
      <c r="C985" s="126"/>
      <c r="D985" s="126">
        <v>5195.5</v>
      </c>
      <c r="E985" s="352"/>
      <c r="F985" s="352"/>
      <c r="G985" s="352"/>
      <c r="H985" s="126">
        <v>8</v>
      </c>
      <c r="I985" s="352"/>
      <c r="J985" s="352"/>
      <c r="K985" s="352"/>
    </row>
    <row r="986" spans="1:11">
      <c r="A986" s="342"/>
      <c r="B986" s="342" t="s">
        <v>1035</v>
      </c>
      <c r="C986" s="126"/>
      <c r="D986" s="126">
        <v>5060</v>
      </c>
      <c r="E986" s="352"/>
      <c r="F986" s="352"/>
      <c r="G986" s="352"/>
      <c r="H986" s="126">
        <v>8</v>
      </c>
      <c r="I986" s="352"/>
      <c r="J986" s="352"/>
      <c r="K986" s="352"/>
    </row>
    <row r="987" spans="1:11">
      <c r="A987" s="101">
        <v>45983</v>
      </c>
      <c r="B987" s="342" t="s">
        <v>1035</v>
      </c>
      <c r="C987" s="126"/>
      <c r="D987" s="126">
        <v>1200</v>
      </c>
      <c r="E987" s="352"/>
      <c r="F987" s="352"/>
      <c r="G987" s="352"/>
      <c r="H987" s="126">
        <v>8</v>
      </c>
      <c r="I987" s="352"/>
      <c r="J987" s="352"/>
      <c r="K987" s="352"/>
    </row>
    <row r="988" spans="1:11">
      <c r="A988" s="342"/>
      <c r="B988" s="342" t="s">
        <v>1450</v>
      </c>
      <c r="C988" s="126"/>
      <c r="D988" s="126">
        <v>3640</v>
      </c>
      <c r="E988" s="352"/>
      <c r="F988" s="352"/>
      <c r="G988" s="352"/>
      <c r="H988" s="126">
        <v>8</v>
      </c>
      <c r="I988" s="352"/>
      <c r="J988" s="352"/>
      <c r="K988" s="352"/>
    </row>
    <row r="989" spans="1:11">
      <c r="A989" s="342"/>
      <c r="B989" s="342" t="s">
        <v>1684</v>
      </c>
      <c r="C989" s="126"/>
      <c r="D989" s="126"/>
      <c r="E989" s="352"/>
      <c r="F989" s="352"/>
      <c r="G989" s="352"/>
      <c r="H989" s="126"/>
      <c r="I989" s="352"/>
      <c r="J989" s="352"/>
      <c r="K989" s="352"/>
    </row>
    <row r="990" spans="1:11">
      <c r="A990" s="342"/>
      <c r="B990" s="342" t="s">
        <v>1474</v>
      </c>
      <c r="C990" s="126"/>
      <c r="D990" s="126">
        <v>3200</v>
      </c>
      <c r="E990" s="352"/>
      <c r="F990" s="352"/>
      <c r="G990" s="352"/>
      <c r="H990" s="126">
        <v>8</v>
      </c>
      <c r="I990" s="352"/>
      <c r="J990" s="352"/>
      <c r="K990" s="352"/>
    </row>
    <row r="991" spans="1:11">
      <c r="A991" s="342"/>
      <c r="B991" s="342" t="s">
        <v>1457</v>
      </c>
      <c r="C991" s="342"/>
      <c r="D991" s="126">
        <v>4200</v>
      </c>
      <c r="E991" s="352"/>
      <c r="F991" s="352"/>
      <c r="G991" s="352"/>
      <c r="H991" s="126">
        <v>8</v>
      </c>
      <c r="I991" s="352"/>
      <c r="J991" s="352"/>
      <c r="K991" s="352"/>
    </row>
    <row r="992" spans="1:11">
      <c r="A992" s="342"/>
      <c r="B992" s="342" t="s">
        <v>1458</v>
      </c>
      <c r="C992" s="342"/>
      <c r="D992" s="126">
        <v>2800</v>
      </c>
      <c r="E992" s="126"/>
      <c r="F992" s="126"/>
      <c r="G992" s="126"/>
      <c r="H992" s="126">
        <v>8</v>
      </c>
      <c r="I992" s="352"/>
      <c r="J992" s="352"/>
      <c r="K992" s="352"/>
    </row>
    <row r="993" spans="1:11">
      <c r="A993" s="342"/>
      <c r="B993" s="342" t="s">
        <v>1459</v>
      </c>
      <c r="C993" s="342"/>
      <c r="D993" s="126">
        <v>3500</v>
      </c>
      <c r="E993" s="126"/>
      <c r="F993" s="126"/>
      <c r="G993" s="126"/>
      <c r="H993" s="126">
        <v>8</v>
      </c>
      <c r="I993" s="352"/>
      <c r="J993" s="352"/>
      <c r="K993" s="352"/>
    </row>
    <row r="994" spans="1:11">
      <c r="A994" s="342"/>
      <c r="B994" s="342" t="s">
        <v>1530</v>
      </c>
      <c r="C994" s="342"/>
      <c r="D994" s="126">
        <v>4200</v>
      </c>
      <c r="E994" s="126"/>
      <c r="F994" s="126"/>
      <c r="G994" s="126"/>
      <c r="H994" s="126">
        <v>8</v>
      </c>
      <c r="I994" s="352"/>
      <c r="J994" s="352"/>
      <c r="K994" s="352"/>
    </row>
    <row r="995" spans="1:11">
      <c r="A995" s="342"/>
      <c r="B995" s="342" t="s">
        <v>1461</v>
      </c>
      <c r="C995" s="342"/>
      <c r="D995" s="126">
        <v>3600</v>
      </c>
      <c r="E995" s="126"/>
      <c r="F995" s="126"/>
      <c r="G995" s="126"/>
      <c r="H995" s="126">
        <v>8</v>
      </c>
      <c r="I995" s="352"/>
      <c r="J995" s="352"/>
      <c r="K995" s="352"/>
    </row>
    <row r="996" spans="1:11">
      <c r="A996" s="101">
        <v>45985</v>
      </c>
      <c r="B996" s="342" t="s">
        <v>1685</v>
      </c>
      <c r="C996" s="342"/>
      <c r="D996" s="126"/>
      <c r="E996" s="126"/>
      <c r="F996" s="126"/>
      <c r="G996" s="126">
        <v>969.6</v>
      </c>
      <c r="H996" s="126">
        <v>2</v>
      </c>
      <c r="I996" s="352"/>
      <c r="J996" s="352"/>
      <c r="K996" s="352"/>
    </row>
    <row r="997" spans="1:11">
      <c r="A997" s="342"/>
      <c r="B997" s="342" t="s">
        <v>1686</v>
      </c>
      <c r="C997" s="342"/>
      <c r="D997" s="126"/>
      <c r="E997" s="126"/>
      <c r="F997" s="126"/>
      <c r="G997" s="126">
        <v>1982.4</v>
      </c>
      <c r="H997" s="126">
        <v>2</v>
      </c>
      <c r="I997" s="352"/>
      <c r="J997" s="352"/>
      <c r="K997" s="352"/>
    </row>
    <row r="998" spans="1:11">
      <c r="A998" s="342"/>
      <c r="B998" s="342" t="s">
        <v>1687</v>
      </c>
      <c r="C998" s="342"/>
      <c r="D998" s="126"/>
      <c r="E998" s="126"/>
      <c r="F998" s="126"/>
      <c r="G998" s="126">
        <v>24778</v>
      </c>
      <c r="H998" s="126">
        <v>2</v>
      </c>
      <c r="I998" s="352"/>
      <c r="J998" s="352"/>
      <c r="K998" s="352"/>
    </row>
    <row r="999" spans="1:11">
      <c r="A999" s="342"/>
      <c r="B999" s="342" t="s">
        <v>1686</v>
      </c>
      <c r="C999" s="126">
        <v>33702.6</v>
      </c>
      <c r="D999" s="126"/>
      <c r="E999" s="126"/>
      <c r="F999" s="126"/>
      <c r="G999" s="126"/>
      <c r="H999" s="126">
        <v>2</v>
      </c>
      <c r="I999" s="352"/>
      <c r="J999" s="352"/>
      <c r="K999" s="352"/>
    </row>
    <row r="1000" spans="1:11">
      <c r="A1000" s="101">
        <v>45986</v>
      </c>
      <c r="B1000" s="342" t="s">
        <v>1688</v>
      </c>
      <c r="C1000" s="342"/>
      <c r="D1000" s="126">
        <v>4810</v>
      </c>
      <c r="E1000" s="126"/>
      <c r="F1000" s="126"/>
      <c r="G1000" s="126"/>
      <c r="H1000" s="126">
        <v>8</v>
      </c>
      <c r="I1000" s="352"/>
      <c r="J1000" s="352"/>
      <c r="K1000" s="352"/>
    </row>
    <row r="1001" spans="1:11">
      <c r="A1001" s="101">
        <v>45987</v>
      </c>
      <c r="B1001" s="342" t="s">
        <v>1689</v>
      </c>
      <c r="C1001" s="342"/>
      <c r="D1001" s="126"/>
      <c r="E1001" s="126">
        <v>700</v>
      </c>
      <c r="F1001" s="126"/>
      <c r="G1001" s="126"/>
      <c r="H1001" s="126">
        <v>8</v>
      </c>
      <c r="I1001" s="352"/>
      <c r="J1001" s="352"/>
      <c r="K1001" s="352"/>
    </row>
    <row r="1002" spans="1:11">
      <c r="A1002" s="101">
        <v>45989</v>
      </c>
      <c r="B1002" s="342" t="s">
        <v>1690</v>
      </c>
      <c r="C1002" s="126">
        <v>990</v>
      </c>
      <c r="D1002" s="126"/>
      <c r="E1002" s="126"/>
      <c r="F1002" s="126"/>
      <c r="G1002" s="126"/>
      <c r="H1002" s="126">
        <v>8</v>
      </c>
      <c r="I1002" s="352"/>
      <c r="J1002" s="352"/>
      <c r="K1002" s="352"/>
    </row>
    <row r="1003" spans="1:11">
      <c r="B1003" s="342" t="s">
        <v>1689</v>
      </c>
      <c r="C1003" s="342"/>
      <c r="D1003" s="126"/>
      <c r="E1003" s="126">
        <v>2920</v>
      </c>
      <c r="F1003" s="126"/>
      <c r="G1003" s="126"/>
      <c r="H1003" s="126">
        <v>8</v>
      </c>
      <c r="I1003" s="352"/>
      <c r="J1003" s="352"/>
      <c r="K1003" s="352"/>
    </row>
    <row r="1004" spans="1:11">
      <c r="B1004" s="126" t="s">
        <v>1035</v>
      </c>
      <c r="C1004" s="126">
        <v>1790</v>
      </c>
      <c r="D1004" s="126">
        <v>533.5</v>
      </c>
      <c r="E1004" s="126"/>
      <c r="F1004" s="126"/>
      <c r="G1004" s="126"/>
      <c r="H1004" s="126">
        <v>8</v>
      </c>
      <c r="I1004" s="352"/>
      <c r="J1004" s="352"/>
      <c r="K1004" s="352"/>
    </row>
    <row r="1005" spans="1:11">
      <c r="A1005" s="101">
        <v>45990</v>
      </c>
      <c r="B1005" s="126" t="s">
        <v>1691</v>
      </c>
      <c r="C1005" s="126"/>
      <c r="D1005" s="126"/>
      <c r="E1005" s="126"/>
      <c r="F1005" s="126"/>
      <c r="G1005" s="126"/>
      <c r="H1005" s="126"/>
      <c r="I1005" s="352"/>
      <c r="J1005" s="352"/>
      <c r="K1005" s="352"/>
    </row>
    <row r="1006" spans="1:11">
      <c r="A1006" s="342"/>
      <c r="B1006" s="126" t="s">
        <v>1474</v>
      </c>
      <c r="C1006" s="126"/>
      <c r="D1006" s="126">
        <v>3200</v>
      </c>
      <c r="E1006" s="126"/>
      <c r="F1006" s="126"/>
      <c r="G1006" s="126"/>
      <c r="H1006" s="126">
        <v>8</v>
      </c>
      <c r="I1006" s="352"/>
      <c r="J1006" s="352"/>
      <c r="K1006" s="352"/>
    </row>
    <row r="1007" spans="1:11">
      <c r="A1007" s="342"/>
      <c r="B1007" s="126" t="s">
        <v>1692</v>
      </c>
      <c r="C1007" s="126">
        <v>3150</v>
      </c>
      <c r="D1007" s="126"/>
      <c r="E1007" s="126"/>
      <c r="F1007" s="126"/>
      <c r="G1007" s="126"/>
      <c r="H1007" s="126">
        <v>8</v>
      </c>
      <c r="I1007" s="352"/>
      <c r="J1007" s="352"/>
      <c r="K1007" s="352"/>
    </row>
    <row r="1008" spans="1:11">
      <c r="A1008" s="342"/>
      <c r="B1008" s="126" t="s">
        <v>1458</v>
      </c>
      <c r="C1008" s="126"/>
      <c r="D1008" s="126">
        <v>2800</v>
      </c>
      <c r="E1008" s="126"/>
      <c r="F1008" s="126"/>
      <c r="G1008" s="126"/>
      <c r="H1008" s="126">
        <v>8</v>
      </c>
      <c r="I1008" s="352"/>
      <c r="J1008" s="352"/>
      <c r="K1008" s="352"/>
    </row>
    <row r="1009" spans="1:12">
      <c r="A1009" s="342"/>
      <c r="B1009" s="126" t="s">
        <v>1693</v>
      </c>
      <c r="C1009" s="126"/>
      <c r="D1009" s="126"/>
      <c r="E1009" s="126">
        <v>3150</v>
      </c>
      <c r="F1009" s="126"/>
      <c r="G1009" s="126"/>
      <c r="H1009" s="126">
        <v>8</v>
      </c>
      <c r="I1009" s="352"/>
      <c r="J1009" s="352"/>
      <c r="K1009" s="352"/>
    </row>
    <row r="1010" spans="1:12">
      <c r="A1010" s="342"/>
      <c r="B1010" s="126" t="s">
        <v>1530</v>
      </c>
      <c r="C1010" s="126"/>
      <c r="D1010" s="126">
        <v>3150</v>
      </c>
      <c r="E1010" s="126"/>
      <c r="F1010" s="126"/>
      <c r="G1010" s="126"/>
      <c r="H1010" s="126">
        <v>8</v>
      </c>
      <c r="I1010" s="352"/>
      <c r="J1010" s="352"/>
      <c r="K1010" s="352"/>
    </row>
    <row r="1011" spans="1:12">
      <c r="A1011" s="342"/>
      <c r="B1011" s="126" t="s">
        <v>1461</v>
      </c>
      <c r="C1011" s="126"/>
      <c r="D1011" s="126">
        <v>2700</v>
      </c>
      <c r="E1011" s="126"/>
      <c r="F1011" s="126"/>
      <c r="G1011" s="126"/>
      <c r="H1011" s="126">
        <v>8</v>
      </c>
      <c r="I1011" s="352"/>
      <c r="J1011" s="352"/>
      <c r="K1011" s="352"/>
    </row>
    <row r="1012" spans="1:12">
      <c r="A1012" s="101">
        <v>45991</v>
      </c>
      <c r="B1012" s="126" t="s">
        <v>1694</v>
      </c>
      <c r="C1012" s="17">
        <v>10000</v>
      </c>
      <c r="D1012" s="23">
        <v>6500</v>
      </c>
      <c r="E1012" s="126"/>
      <c r="F1012" s="126"/>
      <c r="G1012" s="126"/>
      <c r="H1012" s="126">
        <v>6</v>
      </c>
      <c r="I1012" s="352"/>
      <c r="J1012" s="352"/>
      <c r="K1012" s="352"/>
    </row>
    <row r="1013" spans="1:12">
      <c r="A1013" s="342"/>
      <c r="B1013" s="14" t="s">
        <v>749</v>
      </c>
      <c r="C1013" s="126">
        <v>6500</v>
      </c>
      <c r="E1013" s="126"/>
      <c r="F1013" s="126"/>
      <c r="G1013" s="126"/>
      <c r="H1013" s="126">
        <v>3</v>
      </c>
      <c r="I1013" s="352"/>
      <c r="J1013" s="352"/>
      <c r="K1013" s="352"/>
    </row>
    <row r="1014" spans="1:12">
      <c r="A1014" s="345" t="s">
        <v>854</v>
      </c>
      <c r="B1014" s="345" t="s">
        <v>1695</v>
      </c>
      <c r="C1014" s="379">
        <f>SUM(C917:C1013)</f>
        <v>71232.26999999999</v>
      </c>
      <c r="D1014" s="379">
        <f>SUM(D917:D1012)</f>
        <v>221165.49</v>
      </c>
      <c r="E1014" s="379">
        <f>SUM(E918:E1013)</f>
        <v>6770</v>
      </c>
      <c r="F1014" s="379"/>
      <c r="G1014" s="379">
        <f>SUM(G917:G1013)</f>
        <v>38430</v>
      </c>
      <c r="H1014" s="379"/>
      <c r="I1014" s="379">
        <f>SUM(C1014:G1014)</f>
        <v>337597.76</v>
      </c>
      <c r="J1014" s="352"/>
      <c r="K1014" s="352"/>
    </row>
    <row r="1015" spans="1:12">
      <c r="A1015" s="343" t="s">
        <v>883</v>
      </c>
      <c r="B1015" s="126"/>
      <c r="C1015" s="126"/>
      <c r="D1015" s="126"/>
      <c r="E1015" s="126"/>
      <c r="F1015" s="126"/>
      <c r="G1015" s="126"/>
      <c r="H1015" s="126"/>
      <c r="I1015" s="352"/>
      <c r="J1015" s="352"/>
      <c r="K1015" s="352"/>
    </row>
    <row r="1016" spans="1:12">
      <c r="A1016" s="101">
        <v>45993</v>
      </c>
      <c r="B1016" s="126" t="s">
        <v>1035</v>
      </c>
      <c r="C1016" s="126"/>
      <c r="D1016" s="126">
        <v>1967.25</v>
      </c>
      <c r="E1016" s="126"/>
      <c r="F1016" s="126"/>
      <c r="G1016" s="126"/>
      <c r="H1016" s="126">
        <v>8</v>
      </c>
      <c r="I1016" s="352"/>
      <c r="J1016" s="352"/>
      <c r="K1016" s="352"/>
    </row>
    <row r="1017" spans="1:12">
      <c r="A1017" s="342"/>
      <c r="B1017" s="126" t="s">
        <v>1689</v>
      </c>
      <c r="C1017" s="126"/>
      <c r="D1017" s="126"/>
      <c r="E1017" s="126">
        <v>2835</v>
      </c>
      <c r="F1017" s="126"/>
      <c r="G1017" s="126"/>
      <c r="H1017" s="126">
        <v>8</v>
      </c>
      <c r="I1017" s="352"/>
      <c r="J1017" s="352"/>
      <c r="K1017" s="352"/>
    </row>
    <row r="1018" spans="1:12">
      <c r="A1018" s="342"/>
      <c r="B1018" s="342" t="s">
        <v>1770</v>
      </c>
      <c r="C1018" s="126"/>
      <c r="D1018" s="126"/>
      <c r="E1018" s="126">
        <v>3000</v>
      </c>
      <c r="F1018" s="126"/>
      <c r="G1018" s="126"/>
      <c r="H1018" s="126">
        <v>8</v>
      </c>
      <c r="I1018" s="126"/>
      <c r="J1018" s="126"/>
      <c r="K1018" s="352"/>
    </row>
    <row r="1019" spans="1:12">
      <c r="A1019" s="101">
        <v>45994</v>
      </c>
      <c r="B1019" s="342" t="s">
        <v>1771</v>
      </c>
      <c r="C1019" s="126">
        <v>9915.4500000000007</v>
      </c>
      <c r="D1019" s="126">
        <v>2681.32</v>
      </c>
      <c r="E1019" s="126"/>
      <c r="F1019" s="126"/>
      <c r="G1019" s="126"/>
      <c r="H1019" s="126">
        <v>7</v>
      </c>
      <c r="I1019" s="126"/>
      <c r="J1019" s="126"/>
      <c r="K1019" s="352"/>
    </row>
    <row r="1020" spans="1:12">
      <c r="A1020" s="342"/>
      <c r="B1020" s="342" t="s">
        <v>1772</v>
      </c>
      <c r="C1020" s="126">
        <v>15.6</v>
      </c>
      <c r="D1020" s="126"/>
      <c r="E1020" s="126"/>
      <c r="F1020" s="126"/>
      <c r="G1020" s="126"/>
      <c r="H1020" s="126">
        <v>7</v>
      </c>
      <c r="I1020" s="126"/>
      <c r="J1020" s="126"/>
      <c r="K1020" s="352"/>
    </row>
    <row r="1021" spans="1:12">
      <c r="A1021" s="101">
        <v>45995</v>
      </c>
      <c r="B1021" s="342" t="s">
        <v>1446</v>
      </c>
      <c r="D1021" s="126">
        <v>1389</v>
      </c>
      <c r="E1021" s="126"/>
      <c r="F1021" s="126"/>
      <c r="G1021" s="126"/>
      <c r="H1021" s="126">
        <v>8</v>
      </c>
      <c r="I1021" s="126"/>
      <c r="J1021" s="349" t="s">
        <v>883</v>
      </c>
      <c r="K1021" s="54" t="s">
        <v>661</v>
      </c>
    </row>
    <row r="1022" spans="1:12">
      <c r="A1022" s="342"/>
      <c r="B1022" s="342" t="s">
        <v>1773</v>
      </c>
      <c r="C1022" s="126">
        <v>990</v>
      </c>
      <c r="D1022" s="126"/>
      <c r="E1022" s="126"/>
      <c r="F1022" s="126"/>
      <c r="G1022" s="126"/>
      <c r="H1022" s="126">
        <v>8</v>
      </c>
      <c r="I1022" s="126"/>
      <c r="J1022" s="53" t="s">
        <v>613</v>
      </c>
      <c r="K1022" s="54">
        <f>SUM(C1024)</f>
        <v>197.5</v>
      </c>
      <c r="L1022" s="126">
        <f t="shared" ref="L1022:L1034" si="12">SUM(L931,K1022)</f>
        <v>5332.25</v>
      </c>
    </row>
    <row r="1023" spans="1:12">
      <c r="A1023" s="342"/>
      <c r="B1023" s="342" t="s">
        <v>1774</v>
      </c>
      <c r="C1023" s="126">
        <v>714</v>
      </c>
      <c r="D1023" s="126"/>
      <c r="E1023" s="126"/>
      <c r="F1023" s="126"/>
      <c r="G1023" s="126"/>
      <c r="H1023" s="126">
        <v>7</v>
      </c>
      <c r="I1023" s="126"/>
      <c r="J1023" s="55" t="s">
        <v>615</v>
      </c>
      <c r="K1023" s="54"/>
      <c r="L1023" s="126">
        <f t="shared" si="12"/>
        <v>271489.03000000003</v>
      </c>
    </row>
    <row r="1024" spans="1:12">
      <c r="A1024" s="101">
        <v>45996</v>
      </c>
      <c r="B1024" s="342" t="s">
        <v>1775</v>
      </c>
      <c r="C1024" s="126">
        <v>197.5</v>
      </c>
      <c r="D1024" s="126"/>
      <c r="E1024" s="126"/>
      <c r="F1024" s="126"/>
      <c r="G1024" s="126"/>
      <c r="H1024" s="126">
        <v>1</v>
      </c>
      <c r="I1024" s="126"/>
      <c r="J1024" s="56" t="s">
        <v>617</v>
      </c>
      <c r="K1024" s="54">
        <f>SUM(C1074)</f>
        <v>6500</v>
      </c>
      <c r="L1024" s="126">
        <f t="shared" si="12"/>
        <v>78000</v>
      </c>
    </row>
    <row r="1025" spans="1:12">
      <c r="A1025" s="342"/>
      <c r="B1025" s="342" t="s">
        <v>1034</v>
      </c>
      <c r="C1025" s="126"/>
      <c r="D1025" s="126">
        <v>665</v>
      </c>
      <c r="E1025" s="126"/>
      <c r="F1025" s="126"/>
      <c r="G1025" s="126"/>
      <c r="H1025" s="126">
        <v>8</v>
      </c>
      <c r="I1025" s="126"/>
      <c r="J1025" s="57" t="s">
        <v>619</v>
      </c>
      <c r="K1025" s="54"/>
      <c r="L1025" s="126">
        <f t="shared" si="12"/>
        <v>0</v>
      </c>
    </row>
    <row r="1026" spans="1:12">
      <c r="A1026" s="342"/>
      <c r="B1026" s="342" t="s">
        <v>1035</v>
      </c>
      <c r="C1026" s="126"/>
      <c r="D1026" s="126">
        <v>2557.5</v>
      </c>
      <c r="E1026" s="126"/>
      <c r="F1026" s="126"/>
      <c r="G1026" s="126"/>
      <c r="H1026" s="126">
        <v>8</v>
      </c>
      <c r="I1026" s="126"/>
      <c r="J1026" s="58" t="s">
        <v>621</v>
      </c>
      <c r="K1026" s="54"/>
      <c r="L1026" s="126">
        <f t="shared" si="12"/>
        <v>17530</v>
      </c>
    </row>
    <row r="1027" spans="1:12">
      <c r="A1027" s="101">
        <v>45997</v>
      </c>
      <c r="B1027" s="342" t="s">
        <v>1776</v>
      </c>
      <c r="C1027" s="126"/>
      <c r="D1027" s="126"/>
      <c r="E1027" s="126"/>
      <c r="F1027" s="126"/>
      <c r="G1027" s="126"/>
      <c r="H1027" s="126"/>
      <c r="I1027" s="126"/>
      <c r="J1027" s="54" t="s">
        <v>623</v>
      </c>
      <c r="K1027" s="54">
        <f>SUM(C1073,D1073)</f>
        <v>16500</v>
      </c>
      <c r="L1027" s="126">
        <f t="shared" si="12"/>
        <v>198000</v>
      </c>
    </row>
    <row r="1028" spans="1:12">
      <c r="B1028" s="342" t="s">
        <v>1777</v>
      </c>
      <c r="C1028" s="126"/>
      <c r="D1028" s="126">
        <v>4000</v>
      </c>
      <c r="E1028" s="126"/>
      <c r="F1028" s="126"/>
      <c r="G1028" s="126"/>
      <c r="H1028" s="126">
        <v>8</v>
      </c>
      <c r="I1028" s="126"/>
      <c r="J1028" s="54" t="s">
        <v>625</v>
      </c>
      <c r="K1028" s="54"/>
      <c r="L1028" s="126">
        <f t="shared" si="12"/>
        <v>7500</v>
      </c>
    </row>
    <row r="1029" spans="1:12">
      <c r="B1029" s="342" t="s">
        <v>1692</v>
      </c>
      <c r="C1029" s="126">
        <v>3850</v>
      </c>
      <c r="D1029" s="126"/>
      <c r="E1029" s="126"/>
      <c r="F1029" s="126"/>
      <c r="G1029" s="126"/>
      <c r="H1029" s="126">
        <v>8</v>
      </c>
      <c r="I1029" s="126"/>
      <c r="J1029" s="54" t="s">
        <v>627</v>
      </c>
      <c r="K1029" s="54">
        <f>SUM(C1070)</f>
        <v>760</v>
      </c>
      <c r="L1029" s="126">
        <f t="shared" si="12"/>
        <v>8930</v>
      </c>
    </row>
    <row r="1030" spans="1:12">
      <c r="B1030" s="342" t="s">
        <v>1778</v>
      </c>
      <c r="C1030" s="126"/>
      <c r="D1030" s="126">
        <v>3500</v>
      </c>
      <c r="E1030" s="126"/>
      <c r="F1030" s="126"/>
      <c r="G1030" s="126"/>
      <c r="H1030" s="126">
        <v>8</v>
      </c>
      <c r="I1030" s="126"/>
      <c r="J1030" s="54" t="s">
        <v>629</v>
      </c>
      <c r="K1030" s="54"/>
      <c r="L1030" s="126">
        <f t="shared" si="12"/>
        <v>40000</v>
      </c>
    </row>
    <row r="1031" spans="1:12">
      <c r="B1031" s="342" t="s">
        <v>1779</v>
      </c>
      <c r="C1031" s="126"/>
      <c r="D1031" s="126"/>
      <c r="E1031" s="126">
        <v>4200</v>
      </c>
      <c r="F1031" s="126"/>
      <c r="G1031" s="126"/>
      <c r="H1031" s="126">
        <v>8</v>
      </c>
      <c r="I1031" s="126"/>
      <c r="J1031" s="54" t="s">
        <v>631</v>
      </c>
      <c r="K1031" s="54">
        <f>SUM(C1019,D1019,C1020,C1023)</f>
        <v>13326.37</v>
      </c>
      <c r="L1031" s="126">
        <f t="shared" si="12"/>
        <v>156913.11000000002</v>
      </c>
    </row>
    <row r="1032" spans="1:12">
      <c r="B1032" s="342" t="s">
        <v>1530</v>
      </c>
      <c r="C1032" s="126"/>
      <c r="D1032" s="126">
        <v>4200</v>
      </c>
      <c r="E1032" s="126"/>
      <c r="F1032" s="126"/>
      <c r="G1032" s="126"/>
      <c r="H1032" s="126">
        <v>8</v>
      </c>
      <c r="I1032" s="126"/>
      <c r="J1032" s="54" t="s">
        <v>634</v>
      </c>
      <c r="K1032" s="54">
        <f>SUM(D1016,E1017,E1018,D1021,C1022,D1025,D1026,D1028,C1029,D1030,E1031,D1032,C1033,D1035:D1036,D1038,E1039:E1040,D1041:D1042,D1044,C1045,D1046,E1047,D1048,C1049:C1051,E1052,D1053,C1054,E1056,C1057,D1058,C1059,E1060,D1061,C1062,D1063,E1066,D1067:D1069,)</f>
        <v>103111.27</v>
      </c>
      <c r="L1032" s="126">
        <f t="shared" si="12"/>
        <v>1260661</v>
      </c>
    </row>
    <row r="1033" spans="1:12">
      <c r="B1033" s="342" t="s">
        <v>1780</v>
      </c>
      <c r="C1033" s="126">
        <v>3600</v>
      </c>
      <c r="D1033" s="126"/>
      <c r="E1033" s="126"/>
      <c r="F1033" s="126"/>
      <c r="G1033" s="126"/>
      <c r="H1033" s="126">
        <v>8</v>
      </c>
      <c r="I1033" s="126"/>
      <c r="J1033" s="54" t="s">
        <v>636</v>
      </c>
      <c r="K1033" s="63">
        <f>SUM(C1034,D1037)</f>
        <v>2600</v>
      </c>
      <c r="L1033" s="126">
        <f t="shared" si="12"/>
        <v>27695.75</v>
      </c>
    </row>
    <row r="1034" spans="1:12">
      <c r="B1034" s="342" t="s">
        <v>1526</v>
      </c>
      <c r="C1034" s="126">
        <v>1600</v>
      </c>
      <c r="D1034" s="126"/>
      <c r="E1034" s="126"/>
      <c r="F1034" s="126"/>
      <c r="G1034" s="126"/>
      <c r="H1034" s="126">
        <v>9</v>
      </c>
      <c r="I1034" s="126"/>
      <c r="J1034" s="54" t="s">
        <v>638</v>
      </c>
      <c r="K1034" s="54">
        <f>SUM(D1064,G1071)</f>
        <v>16000</v>
      </c>
      <c r="L1034" s="126">
        <f t="shared" si="12"/>
        <v>1092997.67</v>
      </c>
    </row>
    <row r="1035" spans="1:12" ht="15.75" thickBot="1">
      <c r="A1035" s="101">
        <v>45999</v>
      </c>
      <c r="B1035" s="342" t="s">
        <v>1035</v>
      </c>
      <c r="C1035" s="126"/>
      <c r="D1035" s="126">
        <v>1545.75</v>
      </c>
      <c r="E1035" s="126"/>
      <c r="F1035" s="126"/>
      <c r="G1035" s="126"/>
      <c r="H1035" s="126">
        <v>8</v>
      </c>
      <c r="I1035" s="126"/>
      <c r="J1035" s="172" t="s">
        <v>883</v>
      </c>
      <c r="K1035" s="361">
        <f>SUM(K1022:K1034)</f>
        <v>158995.14000000001</v>
      </c>
      <c r="L1035" s="358">
        <f>SUM(L1022:L1034)</f>
        <v>3165048.81</v>
      </c>
    </row>
    <row r="1036" spans="1:12" ht="15.75" thickTop="1">
      <c r="B1036" s="342" t="s">
        <v>1452</v>
      </c>
      <c r="C1036" s="126"/>
      <c r="D1036" s="126">
        <v>1154</v>
      </c>
      <c r="E1036" s="126"/>
      <c r="F1036" s="126"/>
      <c r="G1036" s="126"/>
      <c r="H1036" s="126">
        <v>8</v>
      </c>
      <c r="I1036" s="126"/>
      <c r="J1036" s="343"/>
      <c r="K1036" s="362"/>
      <c r="L1036" s="358">
        <f>SUM(L945,K1035)</f>
        <v>3165048.81</v>
      </c>
    </row>
    <row r="1037" spans="1:12">
      <c r="B1037" s="342" t="s">
        <v>1488</v>
      </c>
      <c r="C1037" s="126"/>
      <c r="D1037" s="126">
        <v>1000</v>
      </c>
      <c r="E1037" s="126"/>
      <c r="F1037" s="126"/>
      <c r="G1037" s="126"/>
      <c r="H1037" s="126">
        <v>9</v>
      </c>
      <c r="I1037" s="126"/>
      <c r="J1037" s="126"/>
      <c r="K1037" s="352"/>
    </row>
    <row r="1038" spans="1:12">
      <c r="A1038" s="101">
        <v>46000</v>
      </c>
      <c r="B1038" s="342" t="s">
        <v>1446</v>
      </c>
      <c r="C1038" s="126"/>
      <c r="D1038" s="126">
        <v>330</v>
      </c>
      <c r="E1038" s="126"/>
      <c r="F1038" s="126"/>
      <c r="G1038" s="126"/>
      <c r="H1038" s="126">
        <v>8</v>
      </c>
      <c r="I1038" s="126"/>
      <c r="J1038" s="126"/>
      <c r="K1038" s="352"/>
    </row>
    <row r="1039" spans="1:12">
      <c r="B1039" s="342" t="s">
        <v>1783</v>
      </c>
      <c r="C1039" s="126"/>
      <c r="D1039" s="126"/>
      <c r="E1039" s="126">
        <v>1980.5</v>
      </c>
      <c r="F1039" s="126"/>
      <c r="G1039" s="126"/>
      <c r="H1039" s="126">
        <v>8</v>
      </c>
      <c r="I1039" s="126"/>
      <c r="J1039" s="126"/>
      <c r="K1039" s="352"/>
    </row>
    <row r="1040" spans="1:12">
      <c r="A1040" s="101">
        <v>46002</v>
      </c>
      <c r="B1040" s="342" t="s">
        <v>1784</v>
      </c>
      <c r="C1040" s="126"/>
      <c r="D1040" s="126"/>
      <c r="E1040" s="126">
        <v>3294.5</v>
      </c>
      <c r="F1040" s="126"/>
      <c r="G1040" s="126"/>
      <c r="H1040" s="126">
        <v>8</v>
      </c>
      <c r="I1040" s="126"/>
      <c r="J1040" s="126"/>
      <c r="K1040" s="352"/>
    </row>
    <row r="1041" spans="1:11">
      <c r="B1041" s="342" t="s">
        <v>1166</v>
      </c>
      <c r="C1041" s="126"/>
      <c r="D1041" s="126">
        <v>1014.5</v>
      </c>
      <c r="E1041" s="126"/>
      <c r="F1041" s="126"/>
      <c r="G1041" s="126"/>
      <c r="H1041" s="126">
        <v>8</v>
      </c>
      <c r="I1041" s="126"/>
      <c r="J1041" s="126"/>
      <c r="K1041" s="352"/>
    </row>
    <row r="1042" spans="1:11">
      <c r="A1042" s="101">
        <v>46003</v>
      </c>
      <c r="B1042" s="342" t="s">
        <v>1035</v>
      </c>
      <c r="C1042" s="126"/>
      <c r="D1042" s="126">
        <v>880</v>
      </c>
      <c r="E1042" s="126"/>
      <c r="F1042" s="126"/>
      <c r="G1042" s="126"/>
      <c r="H1042" s="126">
        <v>8</v>
      </c>
      <c r="I1042" s="126"/>
      <c r="J1042" s="126"/>
      <c r="K1042" s="352"/>
    </row>
    <row r="1043" spans="1:11">
      <c r="A1043" s="101">
        <v>46004</v>
      </c>
      <c r="B1043" s="342" t="s">
        <v>1785</v>
      </c>
      <c r="C1043" s="126"/>
      <c r="D1043" s="126"/>
      <c r="E1043" s="126"/>
      <c r="F1043" s="126"/>
      <c r="G1043" s="126"/>
      <c r="H1043" s="126"/>
      <c r="I1043" s="126"/>
      <c r="J1043" s="126"/>
      <c r="K1043" s="352"/>
    </row>
    <row r="1044" spans="1:11">
      <c r="A1044" s="101"/>
      <c r="B1044" s="342" t="s">
        <v>1474</v>
      </c>
      <c r="C1044" s="126"/>
      <c r="D1044" s="126">
        <v>4000</v>
      </c>
      <c r="E1044" s="126"/>
      <c r="F1044" s="126"/>
      <c r="G1044" s="126"/>
      <c r="H1044" s="126">
        <v>8</v>
      </c>
      <c r="I1044" s="126"/>
      <c r="J1044" s="126"/>
      <c r="K1044" s="352"/>
    </row>
    <row r="1045" spans="1:11">
      <c r="A1045" s="101"/>
      <c r="B1045" s="342" t="s">
        <v>1786</v>
      </c>
      <c r="C1045" s="126">
        <v>3500</v>
      </c>
      <c r="D1045" s="126"/>
      <c r="E1045" s="126"/>
      <c r="F1045" s="126"/>
      <c r="G1045" s="126"/>
      <c r="H1045" s="126">
        <v>8</v>
      </c>
      <c r="I1045" s="126"/>
      <c r="J1045" s="126"/>
      <c r="K1045" s="352"/>
    </row>
    <row r="1046" spans="1:11">
      <c r="A1046" s="101"/>
      <c r="B1046" s="342" t="s">
        <v>1458</v>
      </c>
      <c r="C1046" s="126"/>
      <c r="D1046" s="126">
        <v>2800</v>
      </c>
      <c r="E1046" s="126"/>
      <c r="F1046" s="126"/>
      <c r="G1046" s="126"/>
      <c r="H1046" s="126">
        <v>8</v>
      </c>
      <c r="I1046" s="126"/>
      <c r="J1046" s="126"/>
      <c r="K1046" s="352"/>
    </row>
    <row r="1047" spans="1:11">
      <c r="A1047" s="101"/>
      <c r="B1047" s="342" t="s">
        <v>1787</v>
      </c>
      <c r="C1047" s="126"/>
      <c r="D1047" s="126"/>
      <c r="E1047" s="126">
        <v>4200</v>
      </c>
      <c r="F1047" s="126"/>
      <c r="G1047" s="126"/>
      <c r="H1047" s="126">
        <v>8</v>
      </c>
      <c r="I1047" s="126"/>
      <c r="J1047" s="126"/>
      <c r="K1047" s="352"/>
    </row>
    <row r="1048" spans="1:11">
      <c r="A1048" s="101"/>
      <c r="B1048" s="342" t="s">
        <v>1530</v>
      </c>
      <c r="C1048" s="126"/>
      <c r="D1048" s="126">
        <v>4200</v>
      </c>
      <c r="E1048" s="126"/>
      <c r="F1048" s="126"/>
      <c r="G1048" s="126"/>
      <c r="H1048" s="126">
        <v>8</v>
      </c>
      <c r="I1048" s="126"/>
      <c r="J1048" s="126"/>
      <c r="K1048" s="352"/>
    </row>
    <row r="1049" spans="1:11">
      <c r="A1049" s="101"/>
      <c r="B1049" s="342" t="s">
        <v>1788</v>
      </c>
      <c r="C1049" s="126">
        <v>3600</v>
      </c>
      <c r="D1049" s="126"/>
      <c r="E1049" s="126"/>
      <c r="F1049" s="126"/>
      <c r="G1049" s="126"/>
      <c r="H1049" s="126">
        <v>8</v>
      </c>
      <c r="I1049" s="126"/>
      <c r="J1049" s="126"/>
      <c r="K1049" s="352"/>
    </row>
    <row r="1050" spans="1:11">
      <c r="A1050" s="101">
        <v>46006</v>
      </c>
      <c r="B1050" s="342" t="s">
        <v>1781</v>
      </c>
      <c r="C1050" s="126">
        <v>1198.75</v>
      </c>
      <c r="D1050" s="126"/>
      <c r="E1050" s="126"/>
      <c r="F1050" s="126"/>
      <c r="G1050" s="126"/>
      <c r="H1050" s="126">
        <v>8</v>
      </c>
      <c r="I1050" s="126"/>
      <c r="J1050" s="126"/>
      <c r="K1050" s="352"/>
    </row>
    <row r="1051" spans="1:11">
      <c r="A1051" s="101">
        <v>46008</v>
      </c>
      <c r="B1051" s="342" t="s">
        <v>1782</v>
      </c>
      <c r="C1051" s="126">
        <v>170</v>
      </c>
      <c r="D1051" s="126"/>
      <c r="E1051" s="126"/>
      <c r="F1051" s="126"/>
      <c r="G1051" s="126"/>
      <c r="H1051" s="126">
        <v>8</v>
      </c>
      <c r="I1051" s="126"/>
      <c r="J1051" s="126"/>
      <c r="K1051" s="352"/>
    </row>
    <row r="1052" spans="1:11">
      <c r="A1052" s="342"/>
      <c r="B1052" s="342" t="s">
        <v>1783</v>
      </c>
      <c r="C1052" s="126"/>
      <c r="D1052" s="126"/>
      <c r="E1052" s="126">
        <v>4234.7700000000004</v>
      </c>
      <c r="F1052" s="126"/>
      <c r="G1052" s="126"/>
      <c r="H1052" s="126">
        <v>8</v>
      </c>
      <c r="I1052" s="126"/>
      <c r="J1052" s="126"/>
      <c r="K1052" s="352"/>
    </row>
    <row r="1053" spans="1:11">
      <c r="A1053" s="101">
        <v>46010</v>
      </c>
      <c r="B1053" s="342" t="s">
        <v>1501</v>
      </c>
      <c r="C1053" s="126"/>
      <c r="D1053" s="126">
        <v>560</v>
      </c>
      <c r="E1053" s="126"/>
      <c r="F1053" s="126"/>
      <c r="G1053" s="126"/>
      <c r="H1053" s="126">
        <v>8</v>
      </c>
      <c r="I1053" s="126"/>
      <c r="J1053" s="126"/>
      <c r="K1053" s="352"/>
    </row>
    <row r="1054" spans="1:11">
      <c r="A1054" s="342"/>
      <c r="B1054" s="342" t="s">
        <v>1690</v>
      </c>
      <c r="C1054" s="126">
        <v>2894.75</v>
      </c>
      <c r="D1054" s="126"/>
      <c r="E1054" s="126"/>
      <c r="F1054" s="126"/>
      <c r="G1054" s="126"/>
      <c r="H1054" s="126">
        <v>8</v>
      </c>
      <c r="I1054" s="126"/>
      <c r="J1054" s="126"/>
      <c r="K1054" s="352"/>
    </row>
    <row r="1055" spans="1:11">
      <c r="A1055" s="101">
        <v>46011</v>
      </c>
      <c r="B1055" s="342" t="s">
        <v>1789</v>
      </c>
      <c r="C1055" s="126"/>
      <c r="D1055" s="126"/>
      <c r="E1055" s="126"/>
      <c r="F1055" s="126"/>
      <c r="G1055" s="126"/>
      <c r="H1055" s="126"/>
      <c r="I1055" s="126"/>
      <c r="J1055" s="126"/>
      <c r="K1055" s="352"/>
    </row>
    <row r="1056" spans="1:11">
      <c r="A1056" s="342"/>
      <c r="B1056" s="342" t="s">
        <v>1790</v>
      </c>
      <c r="C1056" s="126"/>
      <c r="D1056" s="126"/>
      <c r="E1056" s="126">
        <v>4000</v>
      </c>
      <c r="F1056" s="126"/>
      <c r="G1056" s="126"/>
      <c r="H1056" s="126">
        <v>8</v>
      </c>
      <c r="I1056" s="126"/>
      <c r="J1056" s="126"/>
      <c r="K1056" s="352"/>
    </row>
    <row r="1057" spans="1:11">
      <c r="A1057" s="342"/>
      <c r="B1057" s="342" t="s">
        <v>1786</v>
      </c>
      <c r="C1057" s="126">
        <v>3500</v>
      </c>
      <c r="D1057" s="126"/>
      <c r="E1057" s="126"/>
      <c r="F1057" s="126"/>
      <c r="G1057" s="126"/>
      <c r="H1057" s="126">
        <v>8</v>
      </c>
      <c r="I1057" s="126"/>
      <c r="J1057" s="126"/>
      <c r="K1057" s="352"/>
    </row>
    <row r="1058" spans="1:11">
      <c r="A1058" s="342"/>
      <c r="B1058" s="342" t="s">
        <v>1778</v>
      </c>
      <c r="C1058" s="126"/>
      <c r="D1058" s="126">
        <v>700</v>
      </c>
      <c r="E1058" s="126"/>
      <c r="F1058" s="126"/>
      <c r="G1058" s="126"/>
      <c r="H1058" s="126">
        <v>8</v>
      </c>
      <c r="I1058" s="126"/>
      <c r="J1058" s="126"/>
      <c r="K1058" s="352"/>
    </row>
    <row r="1059" spans="1:11">
      <c r="A1059" s="342"/>
      <c r="B1059" s="342" t="s">
        <v>1791</v>
      </c>
      <c r="C1059" s="126">
        <v>2800</v>
      </c>
      <c r="D1059" s="126"/>
      <c r="E1059" s="126"/>
      <c r="F1059" s="126"/>
      <c r="G1059" s="126"/>
      <c r="H1059" s="126">
        <v>8</v>
      </c>
      <c r="I1059" s="126"/>
      <c r="J1059" s="126"/>
      <c r="K1059" s="352"/>
    </row>
    <row r="1060" spans="1:11">
      <c r="A1060" s="342"/>
      <c r="B1060" s="342" t="s">
        <v>1779</v>
      </c>
      <c r="C1060" s="126"/>
      <c r="D1060" s="126"/>
      <c r="E1060" s="126">
        <v>2100</v>
      </c>
      <c r="F1060" s="126"/>
      <c r="G1060" s="126"/>
      <c r="H1060" s="126">
        <v>8</v>
      </c>
      <c r="I1060" s="126"/>
      <c r="J1060" s="126"/>
      <c r="K1060" s="352"/>
    </row>
    <row r="1061" spans="1:11">
      <c r="A1061" s="342"/>
      <c r="B1061" s="342" t="s">
        <v>1792</v>
      </c>
      <c r="C1061" s="126"/>
      <c r="D1061" s="126">
        <v>1400</v>
      </c>
      <c r="E1061" s="126"/>
      <c r="F1061" s="126"/>
      <c r="G1061" s="126"/>
      <c r="H1061" s="126">
        <v>8</v>
      </c>
      <c r="I1061" s="126"/>
      <c r="J1061" s="126"/>
      <c r="K1061" s="352"/>
    </row>
    <row r="1062" spans="1:11">
      <c r="A1062" s="342"/>
      <c r="B1062" s="342" t="s">
        <v>1788</v>
      </c>
      <c r="C1062" s="126">
        <v>1800</v>
      </c>
      <c r="D1062" s="126"/>
      <c r="E1062" s="126"/>
      <c r="F1062" s="126"/>
      <c r="G1062" s="126"/>
      <c r="H1062" s="126">
        <v>8</v>
      </c>
      <c r="I1062" s="126"/>
      <c r="J1062" s="126"/>
      <c r="K1062" s="352"/>
    </row>
    <row r="1063" spans="1:11">
      <c r="A1063" s="342"/>
      <c r="B1063" s="342" t="s">
        <v>1793</v>
      </c>
      <c r="C1063" s="126"/>
      <c r="D1063" s="126">
        <v>1200</v>
      </c>
      <c r="E1063" s="126"/>
      <c r="F1063" s="126"/>
      <c r="G1063" s="126"/>
      <c r="H1063" s="126">
        <v>8</v>
      </c>
      <c r="I1063" s="126"/>
      <c r="J1063" s="126"/>
      <c r="K1063" s="352"/>
    </row>
    <row r="1064" spans="1:11">
      <c r="A1064" s="101">
        <v>46015</v>
      </c>
      <c r="B1064" s="342" t="s">
        <v>1794</v>
      </c>
      <c r="C1064" s="126"/>
      <c r="D1064" s="126">
        <v>10000</v>
      </c>
      <c r="E1064" s="126"/>
      <c r="F1064" s="126"/>
      <c r="G1064" s="126"/>
      <c r="H1064" s="126">
        <v>10</v>
      </c>
      <c r="I1064" s="126"/>
      <c r="J1064" s="126"/>
      <c r="K1064" s="352"/>
    </row>
    <row r="1065" spans="1:11">
      <c r="A1065" s="101">
        <v>46018</v>
      </c>
      <c r="B1065" s="342" t="s">
        <v>1795</v>
      </c>
      <c r="C1065" s="126"/>
      <c r="D1065" s="126"/>
      <c r="E1065" s="126"/>
      <c r="F1065" s="126"/>
      <c r="G1065" s="126"/>
      <c r="H1065" s="126"/>
      <c r="I1065" s="126"/>
      <c r="J1065" s="126"/>
      <c r="K1065" s="352"/>
    </row>
    <row r="1066" spans="1:11">
      <c r="A1066" s="342"/>
      <c r="B1066" s="342" t="s">
        <v>1790</v>
      </c>
      <c r="C1066" s="126"/>
      <c r="D1066" s="126"/>
      <c r="E1066" s="126">
        <v>2400</v>
      </c>
      <c r="F1066" s="126"/>
      <c r="G1066" s="126"/>
      <c r="H1066" s="126">
        <v>8</v>
      </c>
      <c r="I1066" s="126"/>
      <c r="J1066" s="126"/>
      <c r="K1066" s="352"/>
    </row>
    <row r="1067" spans="1:11">
      <c r="A1067" s="342"/>
      <c r="B1067" s="342" t="s">
        <v>1796</v>
      </c>
      <c r="C1067" s="342"/>
      <c r="D1067" s="126">
        <v>1400</v>
      </c>
      <c r="E1067" s="126"/>
      <c r="F1067" s="126"/>
      <c r="G1067" s="126"/>
      <c r="H1067" s="126">
        <v>8</v>
      </c>
      <c r="I1067" s="352"/>
      <c r="J1067" s="352"/>
      <c r="K1067" s="352"/>
    </row>
    <row r="1068" spans="1:11">
      <c r="A1068" s="342"/>
      <c r="B1068" s="342" t="s">
        <v>1778</v>
      </c>
      <c r="C1068" s="342"/>
      <c r="D1068" s="126">
        <v>1400</v>
      </c>
      <c r="E1068" s="126"/>
      <c r="F1068" s="126"/>
      <c r="G1068" s="126"/>
      <c r="H1068" s="126">
        <v>8</v>
      </c>
      <c r="I1068" s="352"/>
      <c r="J1068" s="352"/>
      <c r="K1068" s="352"/>
    </row>
    <row r="1069" spans="1:11">
      <c r="A1069" s="342"/>
      <c r="B1069" s="342" t="s">
        <v>1792</v>
      </c>
      <c r="C1069" s="342"/>
      <c r="D1069" s="126">
        <v>2100</v>
      </c>
      <c r="E1069" s="126"/>
      <c r="F1069" s="126"/>
      <c r="G1069" s="126"/>
      <c r="H1069" s="126">
        <v>8</v>
      </c>
      <c r="I1069" s="352"/>
      <c r="J1069" s="352"/>
      <c r="K1069" s="352"/>
    </row>
    <row r="1070" spans="1:11">
      <c r="A1070" s="101">
        <v>46020</v>
      </c>
      <c r="B1070" s="342" t="s">
        <v>1797</v>
      </c>
      <c r="C1070" s="126">
        <v>760</v>
      </c>
      <c r="D1070" s="126"/>
      <c r="E1070" s="126"/>
      <c r="F1070" s="126"/>
      <c r="G1070" s="126"/>
      <c r="H1070" s="126" t="s">
        <v>648</v>
      </c>
      <c r="I1070" s="352"/>
      <c r="J1070" s="352"/>
      <c r="K1070" s="352"/>
    </row>
    <row r="1071" spans="1:11">
      <c r="A1071" s="342"/>
      <c r="B1071" s="342" t="s">
        <v>1798</v>
      </c>
      <c r="C1071" s="342"/>
      <c r="D1071" s="126"/>
      <c r="E1071" s="126"/>
      <c r="F1071" s="126"/>
      <c r="G1071" s="126">
        <v>6000</v>
      </c>
      <c r="H1071" s="126">
        <v>10</v>
      </c>
      <c r="I1071" s="352"/>
      <c r="J1071" s="352"/>
      <c r="K1071" s="352"/>
    </row>
    <row r="1072" spans="1:11">
      <c r="A1072" s="342"/>
      <c r="B1072" s="342" t="s">
        <v>1799</v>
      </c>
      <c r="C1072" s="342"/>
      <c r="D1072" s="126"/>
      <c r="E1072" s="126"/>
      <c r="F1072" s="126"/>
      <c r="G1072" s="126"/>
      <c r="H1072" s="126"/>
      <c r="I1072" s="352"/>
      <c r="J1072" s="352"/>
      <c r="K1072" s="352"/>
    </row>
    <row r="1073" spans="1:12">
      <c r="A1073" s="101">
        <v>46022</v>
      </c>
      <c r="B1073" s="126" t="s">
        <v>1800</v>
      </c>
      <c r="C1073" s="17">
        <v>10000</v>
      </c>
      <c r="D1073" s="23">
        <v>6500</v>
      </c>
      <c r="E1073" s="126"/>
      <c r="F1073" s="126"/>
      <c r="G1073" s="126"/>
      <c r="H1073" s="126">
        <v>6</v>
      </c>
      <c r="I1073" s="352"/>
      <c r="J1073" s="352"/>
      <c r="K1073" s="352"/>
    </row>
    <row r="1074" spans="1:12">
      <c r="A1074" s="342"/>
      <c r="B1074" s="14" t="s">
        <v>749</v>
      </c>
      <c r="C1074" s="126">
        <v>6500</v>
      </c>
      <c r="E1074" s="126"/>
      <c r="F1074" s="126"/>
      <c r="G1074" s="126"/>
      <c r="H1074" s="126">
        <v>3</v>
      </c>
      <c r="I1074" s="352"/>
      <c r="J1074" s="352"/>
      <c r="K1074" s="352"/>
    </row>
    <row r="1075" spans="1:12">
      <c r="A1075" s="367" t="s">
        <v>883</v>
      </c>
      <c r="B1075" s="367" t="s">
        <v>960</v>
      </c>
      <c r="C1075" s="368">
        <f>SUM(C1016:C1074)</f>
        <v>57606.05</v>
      </c>
      <c r="D1075" s="380">
        <f>SUM(D1016:D1074)</f>
        <v>63144.32</v>
      </c>
      <c r="E1075" s="380">
        <f>SUM(E1016:E1074)</f>
        <v>32244.77</v>
      </c>
      <c r="F1075" s="380"/>
      <c r="G1075" s="380">
        <f>SUM(G1016:G1074)</f>
        <v>6000</v>
      </c>
      <c r="H1075" s="381"/>
      <c r="I1075" s="380">
        <f>SUM(C1075:G1075)</f>
        <v>158995.13999999998</v>
      </c>
      <c r="J1075" s="352"/>
      <c r="K1075" s="352"/>
    </row>
    <row r="1076" spans="1:12">
      <c r="A1076" s="340" t="s">
        <v>1806</v>
      </c>
      <c r="B1076" s="342"/>
      <c r="C1076" s="342"/>
      <c r="D1076" s="126"/>
      <c r="E1076" s="126"/>
      <c r="F1076" s="126"/>
      <c r="G1076" s="126"/>
      <c r="H1076" s="352"/>
      <c r="I1076" s="352"/>
      <c r="J1076" s="352"/>
      <c r="K1076" s="352"/>
    </row>
    <row r="1077" spans="1:12">
      <c r="A1077" s="369" t="s">
        <v>939</v>
      </c>
      <c r="D1077" s="352"/>
      <c r="E1077" s="352"/>
      <c r="F1077" s="352"/>
      <c r="G1077" s="352"/>
      <c r="H1077" s="352"/>
      <c r="I1077" s="352"/>
      <c r="J1077" s="352"/>
      <c r="K1077" s="352"/>
    </row>
    <row r="1078" spans="1:12">
      <c r="A1078" s="383">
        <v>46024</v>
      </c>
      <c r="B1078" s="342" t="s">
        <v>1870</v>
      </c>
      <c r="D1078" s="352"/>
      <c r="E1078" s="352"/>
      <c r="F1078" s="352"/>
      <c r="G1078" s="126">
        <v>50000</v>
      </c>
      <c r="H1078" s="126">
        <v>10</v>
      </c>
      <c r="I1078" s="352"/>
      <c r="J1078" s="349" t="s">
        <v>939</v>
      </c>
      <c r="K1078" s="54" t="s">
        <v>661</v>
      </c>
    </row>
    <row r="1079" spans="1:12">
      <c r="A1079" s="101">
        <v>46025</v>
      </c>
      <c r="B1079" s="342" t="s">
        <v>1849</v>
      </c>
      <c r="C1079" s="126">
        <v>10000</v>
      </c>
      <c r="D1079" s="126"/>
      <c r="E1079" s="126"/>
      <c r="F1079" s="126"/>
      <c r="G1079" s="126"/>
      <c r="H1079" s="126">
        <v>6</v>
      </c>
      <c r="I1079" s="126"/>
      <c r="J1079" s="53" t="s">
        <v>613</v>
      </c>
      <c r="K1079" s="54"/>
      <c r="L1079" s="126"/>
    </row>
    <row r="1080" spans="1:12">
      <c r="A1080" s="342"/>
      <c r="B1080" s="342" t="s">
        <v>749</v>
      </c>
      <c r="C1080" s="126">
        <v>6500</v>
      </c>
      <c r="D1080" s="126"/>
      <c r="E1080" s="126"/>
      <c r="F1080" s="126"/>
      <c r="G1080" s="126"/>
      <c r="H1080" s="126">
        <v>3</v>
      </c>
      <c r="I1080" s="126"/>
      <c r="J1080" s="55" t="s">
        <v>615</v>
      </c>
      <c r="K1080" s="54">
        <f>SUM(C1082,C1083,C1103)</f>
        <v>17354</v>
      </c>
      <c r="L1080" s="126"/>
    </row>
    <row r="1081" spans="1:12">
      <c r="A1081" s="101">
        <v>46027</v>
      </c>
      <c r="B1081" s="342" t="s">
        <v>1850</v>
      </c>
      <c r="C1081" s="126">
        <v>11210.8</v>
      </c>
      <c r="D1081" s="126">
        <v>2058.85</v>
      </c>
      <c r="E1081" s="126"/>
      <c r="F1081" s="126"/>
      <c r="G1081" s="126"/>
      <c r="H1081" s="126">
        <v>7</v>
      </c>
      <c r="I1081" s="126"/>
      <c r="J1081" s="56" t="s">
        <v>617</v>
      </c>
      <c r="K1081" s="54">
        <f>SUM(C1080,C1105)</f>
        <v>13000</v>
      </c>
      <c r="L1081" s="126"/>
    </row>
    <row r="1082" spans="1:12">
      <c r="A1082" s="101">
        <v>46028</v>
      </c>
      <c r="B1082" s="342" t="s">
        <v>1851</v>
      </c>
      <c r="C1082" s="126">
        <v>14751</v>
      </c>
      <c r="D1082" s="126"/>
      <c r="E1082" s="126"/>
      <c r="F1082" s="126"/>
      <c r="G1082" s="126"/>
      <c r="H1082" s="126">
        <v>2</v>
      </c>
      <c r="I1082" s="126"/>
      <c r="J1082" s="57" t="s">
        <v>619</v>
      </c>
      <c r="K1082" s="54"/>
      <c r="L1082" s="126"/>
    </row>
    <row r="1083" spans="1:12">
      <c r="A1083" s="342"/>
      <c r="B1083" s="342" t="s">
        <v>1852</v>
      </c>
      <c r="C1083" s="126">
        <v>125</v>
      </c>
      <c r="D1083" s="126"/>
      <c r="E1083" s="126"/>
      <c r="F1083" s="126"/>
      <c r="G1083" s="126"/>
      <c r="H1083" s="126">
        <v>2</v>
      </c>
      <c r="I1083" s="126"/>
      <c r="J1083" s="58" t="s">
        <v>621</v>
      </c>
      <c r="K1083" s="54">
        <f>SUM(C1096)</f>
        <v>300</v>
      </c>
      <c r="L1083" s="126"/>
    </row>
    <row r="1084" spans="1:12">
      <c r="A1084" s="101">
        <v>46032</v>
      </c>
      <c r="B1084" s="342" t="s">
        <v>1853</v>
      </c>
      <c r="C1084" s="126">
        <v>2800</v>
      </c>
      <c r="D1084" s="126"/>
      <c r="E1084" s="126"/>
      <c r="F1084" s="126"/>
      <c r="G1084" s="126"/>
      <c r="H1084" s="126">
        <v>8</v>
      </c>
      <c r="I1084" s="126"/>
      <c r="J1084" s="54" t="s">
        <v>623</v>
      </c>
      <c r="K1084" s="54">
        <f>SUM(C1079,C1104,D1104)</f>
        <v>26500</v>
      </c>
      <c r="L1084" s="126"/>
    </row>
    <row r="1085" spans="1:12">
      <c r="A1085" s="101">
        <v>46034</v>
      </c>
      <c r="B1085" s="342" t="s">
        <v>1854</v>
      </c>
      <c r="C1085" s="126"/>
      <c r="D1085" s="126"/>
      <c r="E1085" s="126"/>
      <c r="F1085" s="126"/>
      <c r="G1085" s="126">
        <v>3000</v>
      </c>
      <c r="H1085" s="126">
        <v>10</v>
      </c>
      <c r="I1085" s="126"/>
      <c r="J1085" s="54" t="s">
        <v>625</v>
      </c>
      <c r="K1085" s="54"/>
      <c r="L1085" s="126"/>
    </row>
    <row r="1086" spans="1:12">
      <c r="A1086" s="342"/>
      <c r="B1086" s="342" t="s">
        <v>1855</v>
      </c>
      <c r="C1086" s="126"/>
      <c r="D1086" s="126"/>
      <c r="E1086" s="126"/>
      <c r="F1086" s="126"/>
      <c r="G1086" s="126">
        <v>3000</v>
      </c>
      <c r="H1086" s="126">
        <v>10</v>
      </c>
      <c r="I1086" s="126"/>
      <c r="J1086" s="54" t="s">
        <v>627</v>
      </c>
      <c r="K1086" s="54">
        <f>SUM(C1099)</f>
        <v>760</v>
      </c>
      <c r="L1086" s="126"/>
    </row>
    <row r="1087" spans="1:12">
      <c r="A1087" s="342"/>
      <c r="B1087" s="342" t="s">
        <v>1856</v>
      </c>
      <c r="C1087" s="126"/>
      <c r="D1087" s="126"/>
      <c r="E1087" s="126"/>
      <c r="F1087" s="126"/>
      <c r="G1087" s="126">
        <v>3000</v>
      </c>
      <c r="H1087" s="126">
        <v>10</v>
      </c>
      <c r="I1087" s="126"/>
      <c r="J1087" s="54" t="s">
        <v>629</v>
      </c>
      <c r="K1087" s="54"/>
      <c r="L1087" s="126"/>
    </row>
    <row r="1088" spans="1:12">
      <c r="A1088" s="342"/>
      <c r="B1088" s="342" t="s">
        <v>1857</v>
      </c>
      <c r="C1088" s="126"/>
      <c r="D1088" s="126"/>
      <c r="E1088" s="126"/>
      <c r="F1088" s="126"/>
      <c r="G1088" s="126">
        <v>3000</v>
      </c>
      <c r="H1088" s="126">
        <v>10</v>
      </c>
      <c r="I1088" s="126"/>
      <c r="J1088" s="54" t="s">
        <v>631</v>
      </c>
      <c r="K1088" s="54">
        <f>SUM(C1081,D1081,C1093)</f>
        <v>13983.65</v>
      </c>
      <c r="L1088" s="126"/>
    </row>
    <row r="1089" spans="1:12">
      <c r="A1089" s="342"/>
      <c r="B1089" s="342" t="s">
        <v>1858</v>
      </c>
      <c r="C1089" s="126"/>
      <c r="D1089" s="126"/>
      <c r="E1089" s="126"/>
      <c r="F1089" s="126"/>
      <c r="G1089" s="126">
        <v>3000</v>
      </c>
      <c r="H1089" s="126">
        <v>10</v>
      </c>
      <c r="I1089" s="126"/>
      <c r="J1089" s="54" t="s">
        <v>634</v>
      </c>
      <c r="K1089" s="54">
        <f>SUM(C1084,C1092,C1094,C1095,F1100,D1101,C1102)</f>
        <v>18271.5</v>
      </c>
      <c r="L1089" s="126"/>
    </row>
    <row r="1090" spans="1:12">
      <c r="A1090" s="342"/>
      <c r="B1090" s="342" t="s">
        <v>1859</v>
      </c>
      <c r="C1090" s="126"/>
      <c r="D1090" s="126"/>
      <c r="E1090" s="126"/>
      <c r="F1090" s="126"/>
      <c r="G1090" s="126">
        <v>3000</v>
      </c>
      <c r="H1090" s="126">
        <v>10</v>
      </c>
      <c r="I1090" s="126"/>
      <c r="J1090" s="54" t="s">
        <v>636</v>
      </c>
      <c r="K1090" s="63"/>
      <c r="L1090" s="126"/>
    </row>
    <row r="1091" spans="1:12">
      <c r="A1091" s="342"/>
      <c r="B1091" s="342" t="s">
        <v>1860</v>
      </c>
      <c r="C1091" s="126"/>
      <c r="D1091" s="126"/>
      <c r="E1091" s="126"/>
      <c r="F1091" s="126"/>
      <c r="G1091" s="126">
        <v>3000</v>
      </c>
      <c r="H1091" s="126">
        <v>10</v>
      </c>
      <c r="I1091" s="126"/>
      <c r="J1091" s="54" t="s">
        <v>638</v>
      </c>
      <c r="K1091" s="54">
        <f>SUM(G1078,G1085:G1091,G1097,G1098)</f>
        <v>101000</v>
      </c>
      <c r="L1091" s="126"/>
    </row>
    <row r="1092" spans="1:12">
      <c r="A1092" s="101">
        <v>38730</v>
      </c>
      <c r="B1092" s="342" t="s">
        <v>1861</v>
      </c>
      <c r="C1092" s="126">
        <v>75</v>
      </c>
      <c r="D1092" s="126"/>
      <c r="E1092" s="126"/>
      <c r="F1092" s="126"/>
      <c r="G1092" s="126"/>
      <c r="H1092" s="126">
        <v>8</v>
      </c>
      <c r="I1092" s="126"/>
      <c r="J1092" s="126"/>
      <c r="K1092" s="384">
        <f>SUM(K1079:K1091)</f>
        <v>191169.15</v>
      </c>
    </row>
    <row r="1093" spans="1:12">
      <c r="A1093" s="342"/>
      <c r="B1093" s="342" t="s">
        <v>1862</v>
      </c>
      <c r="C1093" s="126">
        <v>714</v>
      </c>
      <c r="D1093" s="126"/>
      <c r="E1093" s="126"/>
      <c r="F1093" s="126"/>
      <c r="G1093" s="126"/>
      <c r="H1093" s="126">
        <v>7</v>
      </c>
      <c r="I1093" s="126"/>
      <c r="J1093" s="126"/>
      <c r="K1093" s="352"/>
    </row>
    <row r="1094" spans="1:12">
      <c r="A1094" s="101">
        <v>46037</v>
      </c>
      <c r="B1094" s="342" t="s">
        <v>1035</v>
      </c>
      <c r="C1094" s="126">
        <v>1433.25</v>
      </c>
      <c r="D1094" s="126"/>
      <c r="E1094" s="126"/>
      <c r="F1094" s="126"/>
      <c r="G1094" s="126"/>
      <c r="H1094" s="126">
        <v>8</v>
      </c>
      <c r="I1094" s="126"/>
      <c r="J1094" s="126"/>
      <c r="K1094" s="352"/>
    </row>
    <row r="1095" spans="1:12">
      <c r="A1095" s="342"/>
      <c r="B1095" s="342" t="s">
        <v>1035</v>
      </c>
      <c r="C1095" s="126">
        <v>2217.25</v>
      </c>
      <c r="D1095" s="126"/>
      <c r="E1095" s="126"/>
      <c r="F1095" s="126"/>
      <c r="G1095" s="126"/>
      <c r="H1095" s="126">
        <v>8</v>
      </c>
      <c r="I1095" s="126"/>
      <c r="J1095" s="126"/>
      <c r="K1095" s="352"/>
    </row>
    <row r="1096" spans="1:12">
      <c r="A1096" s="342"/>
      <c r="B1096" s="342" t="s">
        <v>1863</v>
      </c>
      <c r="C1096" s="126">
        <v>300</v>
      </c>
      <c r="D1096" s="126"/>
      <c r="E1096" s="126"/>
      <c r="F1096" s="126"/>
      <c r="G1096" s="126"/>
      <c r="H1096" s="126">
        <v>5</v>
      </c>
      <c r="I1096" s="126"/>
      <c r="J1096" s="126"/>
      <c r="K1096" s="352"/>
    </row>
    <row r="1097" spans="1:12">
      <c r="A1097" s="342"/>
      <c r="B1097" s="342" t="s">
        <v>1871</v>
      </c>
      <c r="C1097" s="126"/>
      <c r="D1097" s="126"/>
      <c r="E1097" s="126"/>
      <c r="F1097" s="126"/>
      <c r="G1097" s="126">
        <v>20000</v>
      </c>
      <c r="H1097" s="126">
        <v>10</v>
      </c>
      <c r="I1097" s="126"/>
      <c r="J1097" s="126"/>
      <c r="K1097" s="352"/>
    </row>
    <row r="1098" spans="1:12">
      <c r="A1098" s="101">
        <v>46042</v>
      </c>
      <c r="B1098" s="342" t="s">
        <v>1871</v>
      </c>
      <c r="C1098" s="126"/>
      <c r="D1098" s="126"/>
      <c r="E1098" s="126"/>
      <c r="F1098" s="126"/>
      <c r="G1098" s="126">
        <v>10000</v>
      </c>
      <c r="H1098" s="126">
        <v>10</v>
      </c>
      <c r="I1098" s="126"/>
      <c r="J1098" s="126"/>
      <c r="K1098" s="352"/>
    </row>
    <row r="1099" spans="1:12">
      <c r="A1099" s="101">
        <v>46045</v>
      </c>
      <c r="B1099" s="342" t="s">
        <v>1864</v>
      </c>
      <c r="C1099" s="126">
        <v>760</v>
      </c>
      <c r="D1099" s="126"/>
      <c r="E1099" s="126"/>
      <c r="F1099" s="126"/>
      <c r="G1099" s="126"/>
      <c r="H1099" s="126" t="s">
        <v>648</v>
      </c>
      <c r="I1099" s="126"/>
      <c r="J1099" s="126"/>
      <c r="K1099" s="352"/>
    </row>
    <row r="1100" spans="1:12">
      <c r="A1100" s="101">
        <v>46046</v>
      </c>
      <c r="B1100" s="342" t="s">
        <v>1865</v>
      </c>
      <c r="C1100" s="126"/>
      <c r="D1100" s="126"/>
      <c r="E1100" s="126"/>
      <c r="F1100" s="126">
        <v>3500</v>
      </c>
      <c r="G1100" s="126"/>
      <c r="H1100" s="126">
        <v>8</v>
      </c>
      <c r="I1100" s="126"/>
      <c r="J1100" s="126"/>
      <c r="K1100" s="352"/>
    </row>
    <row r="1101" spans="1:12">
      <c r="A1101" s="342"/>
      <c r="B1101" s="342" t="s">
        <v>1866</v>
      </c>
      <c r="C1101" s="342"/>
      <c r="D1101" s="126">
        <v>7000</v>
      </c>
      <c r="E1101" s="126"/>
      <c r="F1101" s="126"/>
      <c r="G1101" s="126"/>
      <c r="H1101" s="126">
        <v>8</v>
      </c>
      <c r="I1101" s="126"/>
      <c r="J1101" s="126"/>
      <c r="K1101" s="352"/>
    </row>
    <row r="1102" spans="1:12">
      <c r="A1102" s="101">
        <v>46048</v>
      </c>
      <c r="B1102" s="342" t="s">
        <v>1867</v>
      </c>
      <c r="C1102" s="126">
        <v>1246</v>
      </c>
      <c r="D1102" s="126"/>
      <c r="E1102" s="126"/>
      <c r="F1102" s="126"/>
      <c r="G1102" s="126"/>
      <c r="H1102" s="126">
        <v>8</v>
      </c>
      <c r="I1102" s="126"/>
      <c r="J1102" s="126"/>
      <c r="K1102" s="352"/>
    </row>
    <row r="1103" spans="1:12">
      <c r="A1103" s="101">
        <v>46049</v>
      </c>
      <c r="B1103" s="342" t="s">
        <v>1868</v>
      </c>
      <c r="C1103" s="126">
        <v>2478</v>
      </c>
      <c r="D1103" s="126"/>
      <c r="E1103" s="126"/>
      <c r="F1103" s="126"/>
      <c r="G1103" s="126"/>
      <c r="H1103" s="126">
        <v>2</v>
      </c>
      <c r="I1103" s="126"/>
      <c r="J1103" s="126"/>
      <c r="K1103" s="352"/>
    </row>
    <row r="1104" spans="1:12">
      <c r="A1104" s="101">
        <v>46053</v>
      </c>
      <c r="B1104" s="126" t="s">
        <v>1869</v>
      </c>
      <c r="C1104" s="17">
        <v>10000</v>
      </c>
      <c r="D1104" s="23">
        <v>6500</v>
      </c>
      <c r="E1104" s="126"/>
      <c r="F1104" s="126"/>
      <c r="G1104" s="126"/>
      <c r="H1104" s="126">
        <v>6</v>
      </c>
      <c r="I1104" s="126"/>
      <c r="J1104" s="126"/>
      <c r="K1104" s="352"/>
    </row>
    <row r="1105" spans="1:12">
      <c r="A1105" s="342"/>
      <c r="B1105" s="14" t="s">
        <v>749</v>
      </c>
      <c r="C1105" s="126">
        <v>6500</v>
      </c>
      <c r="E1105" s="126"/>
      <c r="F1105" s="126"/>
      <c r="G1105" s="126"/>
      <c r="H1105" s="126">
        <v>3</v>
      </c>
      <c r="I1105" s="126"/>
      <c r="J1105" s="126"/>
      <c r="K1105" s="352"/>
    </row>
    <row r="1106" spans="1:12">
      <c r="A1106" s="345" t="s">
        <v>939</v>
      </c>
      <c r="B1106" s="345" t="s">
        <v>960</v>
      </c>
      <c r="C1106" s="161">
        <f>SUM(C1079:C1105)</f>
        <v>71110.3</v>
      </c>
      <c r="D1106" s="158">
        <f>SUM(D1079:D1105)</f>
        <v>15558.85</v>
      </c>
      <c r="E1106" s="158"/>
      <c r="F1106" s="158">
        <f>SUM(F1100:F1105)</f>
        <v>3500</v>
      </c>
      <c r="G1106" s="158">
        <f>SUM(G1078:G1105)</f>
        <v>101000</v>
      </c>
      <c r="H1106" s="158"/>
      <c r="I1106" s="158">
        <f>SUM(C1106:G1106)</f>
        <v>191169.15000000002</v>
      </c>
      <c r="J1106" s="126"/>
      <c r="K1106" s="352"/>
    </row>
    <row r="1107" spans="1:12">
      <c r="A1107" s="343" t="s">
        <v>1924</v>
      </c>
      <c r="B1107" s="342"/>
      <c r="C1107" s="342"/>
      <c r="D1107" s="126"/>
      <c r="E1107" s="126"/>
      <c r="F1107" s="126"/>
      <c r="G1107" s="126"/>
      <c r="H1107" s="126"/>
      <c r="I1107" s="126"/>
      <c r="J1107" s="126"/>
      <c r="K1107" s="352"/>
    </row>
    <row r="1108" spans="1:12">
      <c r="A1108" s="101">
        <v>46055</v>
      </c>
      <c r="B1108" s="342" t="s">
        <v>1925</v>
      </c>
      <c r="C1108" s="342"/>
      <c r="D1108" s="126"/>
      <c r="E1108" s="126"/>
      <c r="F1108" s="126"/>
      <c r="G1108" s="126">
        <v>10000</v>
      </c>
      <c r="H1108" s="126">
        <v>10</v>
      </c>
      <c r="I1108" s="126"/>
      <c r="J1108" s="126"/>
      <c r="K1108" s="352"/>
    </row>
    <row r="1109" spans="1:12">
      <c r="A1109" s="101">
        <v>46056</v>
      </c>
      <c r="B1109" s="342" t="s">
        <v>1926</v>
      </c>
      <c r="C1109" s="342"/>
      <c r="D1109" s="126"/>
      <c r="E1109" s="126"/>
      <c r="F1109" s="126"/>
      <c r="G1109" s="126">
        <v>486.32</v>
      </c>
      <c r="H1109" s="126">
        <v>10</v>
      </c>
      <c r="I1109" s="126"/>
      <c r="J1109" s="126"/>
      <c r="K1109" s="352"/>
    </row>
    <row r="1110" spans="1:12">
      <c r="A1110" s="342"/>
      <c r="B1110" s="342" t="s">
        <v>1927</v>
      </c>
      <c r="C1110" s="126">
        <v>8447.2000000000007</v>
      </c>
      <c r="D1110" s="126">
        <v>1341.61</v>
      </c>
      <c r="E1110" s="126"/>
      <c r="F1110" s="126"/>
      <c r="G1110" s="126"/>
      <c r="H1110" s="126">
        <v>7</v>
      </c>
      <c r="I1110" s="126"/>
      <c r="J1110" s="126"/>
      <c r="K1110" s="352"/>
    </row>
    <row r="1111" spans="1:12">
      <c r="A1111" s="342"/>
      <c r="B1111" s="342" t="s">
        <v>1928</v>
      </c>
      <c r="C1111" s="126">
        <v>15.6</v>
      </c>
      <c r="D1111" s="126"/>
      <c r="E1111" s="126"/>
      <c r="F1111" s="126"/>
      <c r="G1111" s="126"/>
      <c r="H1111" s="126">
        <v>7</v>
      </c>
      <c r="I1111" s="126"/>
      <c r="J1111" s="349" t="s">
        <v>1003</v>
      </c>
      <c r="K1111" s="54" t="s">
        <v>661</v>
      </c>
    </row>
    <row r="1112" spans="1:12">
      <c r="A1112" s="101">
        <v>46058</v>
      </c>
      <c r="B1112" s="342" t="s">
        <v>1857</v>
      </c>
      <c r="C1112" s="342"/>
      <c r="D1112" s="126"/>
      <c r="E1112" s="126"/>
      <c r="F1112" s="126"/>
      <c r="G1112" s="126">
        <v>10000</v>
      </c>
      <c r="H1112" s="126">
        <v>10</v>
      </c>
      <c r="I1112" s="126"/>
      <c r="J1112" s="53" t="s">
        <v>613</v>
      </c>
      <c r="K1112" s="54"/>
      <c r="L1112" s="71">
        <f>SUM(K1079,K1112)</f>
        <v>0</v>
      </c>
    </row>
    <row r="1113" spans="1:12">
      <c r="A1113" s="342"/>
      <c r="B1113" s="342" t="s">
        <v>1854</v>
      </c>
      <c r="C1113" s="342"/>
      <c r="D1113" s="126"/>
      <c r="E1113" s="126"/>
      <c r="F1113" s="126"/>
      <c r="G1113" s="126">
        <v>10000</v>
      </c>
      <c r="H1113" s="126">
        <v>10</v>
      </c>
      <c r="I1113" s="126"/>
      <c r="J1113" s="55" t="s">
        <v>615</v>
      </c>
      <c r="K1113" s="54">
        <f>SUM(C1115,C1116,C1136)</f>
        <v>2840</v>
      </c>
      <c r="L1113" s="105">
        <f t="shared" ref="L1113:L1124" si="13">SUM(K1080,K1113)</f>
        <v>20194</v>
      </c>
    </row>
    <row r="1114" spans="1:12">
      <c r="A1114" s="342"/>
      <c r="B1114" s="342" t="s">
        <v>1855</v>
      </c>
      <c r="C1114" s="342"/>
      <c r="D1114" s="126"/>
      <c r="E1114" s="126"/>
      <c r="F1114" s="126"/>
      <c r="G1114" s="126">
        <v>10000</v>
      </c>
      <c r="H1114" s="126">
        <v>10</v>
      </c>
      <c r="I1114" s="126"/>
      <c r="J1114" s="56" t="s">
        <v>617</v>
      </c>
      <c r="K1114" s="54">
        <f>SUM(C1132)</f>
        <v>6500</v>
      </c>
      <c r="L1114" s="105">
        <f t="shared" si="13"/>
        <v>19500</v>
      </c>
    </row>
    <row r="1115" spans="1:12">
      <c r="A1115" s="342"/>
      <c r="B1115" s="342" t="s">
        <v>1856</v>
      </c>
      <c r="C1115" s="342"/>
      <c r="D1115" s="126"/>
      <c r="E1115" s="126"/>
      <c r="F1115" s="126"/>
      <c r="G1115" s="126">
        <v>2000</v>
      </c>
      <c r="H1115" s="126">
        <v>10</v>
      </c>
      <c r="I1115" s="126"/>
      <c r="J1115" s="57" t="s">
        <v>619</v>
      </c>
      <c r="K1115" s="54"/>
      <c r="L1115" s="105">
        <f t="shared" si="13"/>
        <v>0</v>
      </c>
    </row>
    <row r="1116" spans="1:12">
      <c r="A1116" s="342"/>
      <c r="B1116" s="342" t="s">
        <v>949</v>
      </c>
      <c r="C1116" s="342"/>
      <c r="D1116" s="126"/>
      <c r="E1116" s="126"/>
      <c r="F1116" s="126"/>
      <c r="G1116" s="126">
        <v>10000</v>
      </c>
      <c r="H1116" s="126">
        <v>10</v>
      </c>
      <c r="I1116" s="126"/>
      <c r="J1116" s="58" t="s">
        <v>621</v>
      </c>
      <c r="K1116" s="54">
        <f>SUM(C1129)</f>
        <v>0</v>
      </c>
      <c r="L1116" s="105">
        <f t="shared" si="13"/>
        <v>300</v>
      </c>
    </row>
    <row r="1117" spans="1:12">
      <c r="A1117" s="342"/>
      <c r="B1117" s="342" t="s">
        <v>1014</v>
      </c>
      <c r="C1117" s="342"/>
      <c r="D1117" s="126"/>
      <c r="E1117" s="126"/>
      <c r="F1117" s="126"/>
      <c r="G1117" s="126">
        <v>5000</v>
      </c>
      <c r="H1117" s="126">
        <v>10</v>
      </c>
      <c r="I1117" s="126"/>
      <c r="J1117" s="54" t="s">
        <v>623</v>
      </c>
      <c r="K1117" s="54">
        <f>SUM(C1131,D1131)</f>
        <v>16500</v>
      </c>
      <c r="L1117" s="105">
        <f t="shared" si="13"/>
        <v>43000</v>
      </c>
    </row>
    <row r="1118" spans="1:12">
      <c r="A1118" s="342"/>
      <c r="B1118" s="342" t="s">
        <v>1858</v>
      </c>
      <c r="C1118" s="342"/>
      <c r="D1118" s="126"/>
      <c r="E1118" s="126"/>
      <c r="F1118" s="126"/>
      <c r="G1118" s="126">
        <v>10000</v>
      </c>
      <c r="H1118" s="126">
        <v>10</v>
      </c>
      <c r="I1118" s="126"/>
      <c r="J1118" s="54" t="s">
        <v>625</v>
      </c>
      <c r="K1118" s="54">
        <f>SUM(C1121)</f>
        <v>1500</v>
      </c>
      <c r="L1118" s="105">
        <f t="shared" si="13"/>
        <v>1500</v>
      </c>
    </row>
    <row r="1119" spans="1:12">
      <c r="A1119" s="342"/>
      <c r="B1119" s="342" t="s">
        <v>1929</v>
      </c>
      <c r="C1119" s="126">
        <v>714</v>
      </c>
      <c r="D1119" s="126"/>
      <c r="E1119" s="126"/>
      <c r="F1119" s="126"/>
      <c r="G1119" s="126"/>
      <c r="H1119" s="126">
        <v>7</v>
      </c>
      <c r="I1119" s="126"/>
      <c r="J1119" s="54" t="s">
        <v>627</v>
      </c>
      <c r="K1119" s="54">
        <f>SUM(C1120)</f>
        <v>760</v>
      </c>
      <c r="L1119" s="105">
        <f t="shared" si="13"/>
        <v>1520</v>
      </c>
    </row>
    <row r="1120" spans="1:12">
      <c r="A1120" s="101">
        <v>46063</v>
      </c>
      <c r="B1120" s="342" t="s">
        <v>1930</v>
      </c>
      <c r="C1120" s="126">
        <v>760</v>
      </c>
      <c r="D1120" s="126"/>
      <c r="E1120" s="126"/>
      <c r="F1120" s="126"/>
      <c r="G1120" s="126"/>
      <c r="H1120" s="126" t="s">
        <v>648</v>
      </c>
      <c r="I1120" s="126"/>
      <c r="J1120" s="54" t="s">
        <v>629</v>
      </c>
      <c r="K1120" s="54"/>
      <c r="L1120" s="105">
        <f t="shared" si="13"/>
        <v>0</v>
      </c>
    </row>
    <row r="1121" spans="1:12">
      <c r="A1121" s="342"/>
      <c r="B1121" s="342" t="s">
        <v>1931</v>
      </c>
      <c r="C1121" s="126">
        <v>1500</v>
      </c>
      <c r="D1121" s="126"/>
      <c r="E1121" s="126"/>
      <c r="F1121" s="126"/>
      <c r="G1121" s="126"/>
      <c r="H1121" s="126" t="s">
        <v>680</v>
      </c>
      <c r="I1121" s="126"/>
      <c r="J1121" s="54" t="s">
        <v>631</v>
      </c>
      <c r="K1121" s="54">
        <f>SUM(C1110,D1110,C1111,C1119)</f>
        <v>10518.410000000002</v>
      </c>
      <c r="L1121" s="105">
        <f t="shared" si="13"/>
        <v>24502.06</v>
      </c>
    </row>
    <row r="1122" spans="1:12">
      <c r="A1122" s="342"/>
      <c r="B1122" s="342" t="s">
        <v>1932</v>
      </c>
      <c r="C1122" s="126">
        <v>1390</v>
      </c>
      <c r="D1122" s="126"/>
      <c r="E1122" s="126"/>
      <c r="F1122" s="126"/>
      <c r="G1122" s="126"/>
      <c r="H1122" s="126">
        <v>8</v>
      </c>
      <c r="I1122" s="126"/>
      <c r="J1122" s="54" t="s">
        <v>634</v>
      </c>
      <c r="K1122" s="54">
        <f>SUM(C1122,C1123)</f>
        <v>3890</v>
      </c>
      <c r="L1122" s="105">
        <f t="shared" si="13"/>
        <v>22161.5</v>
      </c>
    </row>
    <row r="1123" spans="1:12">
      <c r="A1123" s="101">
        <v>46065</v>
      </c>
      <c r="B1123" s="342" t="s">
        <v>1932</v>
      </c>
      <c r="C1123" s="126">
        <v>2500</v>
      </c>
      <c r="D1123" s="126"/>
      <c r="E1123" s="126"/>
      <c r="F1123" s="126"/>
      <c r="G1123" s="126"/>
      <c r="H1123" s="126">
        <v>8</v>
      </c>
      <c r="I1123" s="126"/>
      <c r="J1123" s="54" t="s">
        <v>636</v>
      </c>
      <c r="K1123" s="63"/>
      <c r="L1123" s="105">
        <f t="shared" si="13"/>
        <v>0</v>
      </c>
    </row>
    <row r="1124" spans="1:12">
      <c r="A1124" s="101">
        <v>46077</v>
      </c>
      <c r="B1124" s="342" t="s">
        <v>1933</v>
      </c>
      <c r="C1124" s="126"/>
      <c r="D1124" s="126"/>
      <c r="E1124" s="126"/>
      <c r="F1124" s="126"/>
      <c r="G1124" s="126">
        <v>486.32</v>
      </c>
      <c r="H1124" s="126">
        <v>10</v>
      </c>
      <c r="I1124" s="126"/>
      <c r="J1124" s="54" t="s">
        <v>638</v>
      </c>
      <c r="K1124" s="54">
        <f>SUM(G1108,G1109,G1112,G1113,G1114,G1115,G1116,G1117,G1118,G1124,G1125,G1126,G1127,G1128,G1129,G1130)</f>
        <v>138307.64000000001</v>
      </c>
      <c r="L1124" s="105">
        <f t="shared" si="13"/>
        <v>239307.64</v>
      </c>
    </row>
    <row r="1125" spans="1:12">
      <c r="A1125" s="342"/>
      <c r="B1125" s="342" t="s">
        <v>1934</v>
      </c>
      <c r="C1125" s="126"/>
      <c r="D1125" s="126"/>
      <c r="E1125" s="126"/>
      <c r="F1125" s="126"/>
      <c r="G1125" s="126">
        <v>135</v>
      </c>
      <c r="H1125" s="126">
        <v>10</v>
      </c>
      <c r="I1125" s="126"/>
      <c r="J1125" s="126"/>
      <c r="K1125" s="344">
        <f>SUM(K1112:K1124)</f>
        <v>180816.05000000002</v>
      </c>
      <c r="L1125" s="165">
        <f>SUM(L1112:L1124)</f>
        <v>371985.2</v>
      </c>
    </row>
    <row r="1126" spans="1:12">
      <c r="A1126" s="342"/>
      <c r="B1126" s="342" t="s">
        <v>1935</v>
      </c>
      <c r="C1126" s="126"/>
      <c r="D1126" s="126"/>
      <c r="E1126" s="126"/>
      <c r="F1126" s="126"/>
      <c r="G1126" s="126">
        <v>85</v>
      </c>
      <c r="H1126" s="126">
        <v>10</v>
      </c>
      <c r="I1126" s="126"/>
      <c r="J1126" s="126"/>
      <c r="K1126" s="387"/>
      <c r="L1126" s="165">
        <f>SUM(K1092,K1125)</f>
        <v>371985.2</v>
      </c>
    </row>
    <row r="1127" spans="1:12">
      <c r="A1127" s="342"/>
      <c r="B1127" s="342" t="s">
        <v>1936</v>
      </c>
      <c r="C1127" s="126"/>
      <c r="D1127" s="126"/>
      <c r="E1127" s="126"/>
      <c r="F1127" s="126"/>
      <c r="G1127" s="126">
        <v>115</v>
      </c>
      <c r="H1127" s="126">
        <v>10</v>
      </c>
      <c r="I1127" s="126"/>
      <c r="J1127" s="126"/>
      <c r="K1127" s="352"/>
    </row>
    <row r="1128" spans="1:12">
      <c r="A1128" s="101">
        <v>46078</v>
      </c>
      <c r="B1128" s="342" t="s">
        <v>1857</v>
      </c>
      <c r="C1128" s="126"/>
      <c r="D1128" s="126"/>
      <c r="E1128" s="342"/>
      <c r="F1128" s="342"/>
      <c r="G1128" s="126">
        <v>63000</v>
      </c>
      <c r="H1128" s="342">
        <v>10</v>
      </c>
      <c r="I1128" s="342"/>
      <c r="J1128" s="342"/>
    </row>
    <row r="1129" spans="1:12">
      <c r="A1129" s="342"/>
      <c r="B1129" s="342" t="s">
        <v>1854</v>
      </c>
      <c r="C1129" s="342"/>
      <c r="D1129" s="342"/>
      <c r="E1129" s="342"/>
      <c r="F1129" s="342"/>
      <c r="G1129" s="126">
        <v>5000</v>
      </c>
      <c r="H1129" s="342">
        <v>10</v>
      </c>
      <c r="I1129" s="342"/>
      <c r="J1129" s="342"/>
      <c r="K1129" s="386" t="s">
        <v>108</v>
      </c>
    </row>
    <row r="1130" spans="1:12">
      <c r="A1130" s="342"/>
      <c r="B1130" s="342" t="s">
        <v>1856</v>
      </c>
      <c r="C1130" s="342"/>
      <c r="D1130" s="342"/>
      <c r="E1130" s="342"/>
      <c r="F1130" s="342"/>
      <c r="G1130" s="126">
        <v>2000</v>
      </c>
      <c r="H1130" s="342">
        <v>10</v>
      </c>
      <c r="I1130" s="342"/>
      <c r="J1130" s="342"/>
    </row>
    <row r="1131" spans="1:12">
      <c r="A1131" s="101">
        <v>46081</v>
      </c>
      <c r="B1131" s="126" t="s">
        <v>1937</v>
      </c>
      <c r="C1131" s="17">
        <v>10000</v>
      </c>
      <c r="D1131" s="23">
        <v>6500</v>
      </c>
      <c r="E1131" s="342"/>
      <c r="F1131" s="342"/>
      <c r="G1131" s="342"/>
      <c r="H1131" s="342">
        <v>6</v>
      </c>
      <c r="I1131" s="342"/>
      <c r="J1131" s="342"/>
    </row>
    <row r="1132" spans="1:12">
      <c r="A1132" s="342"/>
      <c r="B1132" s="14" t="s">
        <v>749</v>
      </c>
      <c r="C1132" s="126">
        <v>6500</v>
      </c>
      <c r="E1132" s="342"/>
      <c r="F1132" s="342"/>
      <c r="G1132" s="342"/>
      <c r="H1132" s="342">
        <v>3</v>
      </c>
      <c r="I1132" s="342"/>
      <c r="J1132" s="342"/>
    </row>
    <row r="1133" spans="1:12">
      <c r="A1133" s="345" t="s">
        <v>1924</v>
      </c>
      <c r="B1133" s="345" t="s">
        <v>960</v>
      </c>
      <c r="C1133" s="158">
        <f>SUM(C1108:C1132)</f>
        <v>31826.800000000003</v>
      </c>
      <c r="D1133" s="161">
        <f>SUM(D1108:D1132)</f>
        <v>7841.61</v>
      </c>
      <c r="E1133" s="345"/>
      <c r="F1133" s="345"/>
      <c r="G1133" s="161">
        <f>SUM(G1108:G1132)</f>
        <v>138307.64000000001</v>
      </c>
      <c r="H1133" s="345"/>
      <c r="I1133" s="161">
        <f>SUM(C1133:G1133)</f>
        <v>177976.05000000002</v>
      </c>
      <c r="J1133" s="342"/>
    </row>
    <row r="1134" spans="1:12">
      <c r="A1134" s="343" t="s">
        <v>1018</v>
      </c>
      <c r="B1134" s="342"/>
      <c r="C1134" s="342"/>
      <c r="D1134" s="342"/>
      <c r="E1134" s="342"/>
      <c r="F1134" s="342"/>
      <c r="G1134" s="342"/>
      <c r="H1134" s="342"/>
      <c r="I1134" s="342"/>
      <c r="J1134" s="342"/>
    </row>
    <row r="1135" spans="1:12">
      <c r="A1135" s="101">
        <v>46083</v>
      </c>
      <c r="B1135" s="342" t="s">
        <v>1938</v>
      </c>
      <c r="C1135" s="388"/>
      <c r="D1135" s="342"/>
      <c r="E1135" s="342"/>
      <c r="F1135" s="342"/>
      <c r="G1135" s="126">
        <v>5092.13</v>
      </c>
      <c r="H1135" s="342">
        <v>10</v>
      </c>
      <c r="I1135" s="342"/>
      <c r="J1135" s="342"/>
    </row>
    <row r="1136" spans="1:12">
      <c r="A1136" s="101">
        <v>46085</v>
      </c>
      <c r="B1136" s="342" t="s">
        <v>1932</v>
      </c>
      <c r="C1136" s="126">
        <v>2840</v>
      </c>
      <c r="D1136" s="342"/>
      <c r="E1136" s="342"/>
      <c r="F1136" s="342"/>
      <c r="G1136" s="342"/>
      <c r="H1136" s="342">
        <v>8</v>
      </c>
      <c r="I1136" s="342"/>
      <c r="J1136" s="342"/>
    </row>
    <row r="1137" spans="1:12">
      <c r="A1137" s="101">
        <v>46086</v>
      </c>
      <c r="B1137" s="342" t="s">
        <v>1939</v>
      </c>
      <c r="C1137" s="126">
        <v>10775.68</v>
      </c>
      <c r="D1137" s="126">
        <v>2070.7399999999998</v>
      </c>
      <c r="E1137" s="342"/>
      <c r="F1137" s="342"/>
      <c r="G1137" s="342"/>
      <c r="H1137" s="342">
        <v>7</v>
      </c>
      <c r="I1137" s="342"/>
      <c r="J1137" s="342"/>
    </row>
    <row r="1138" spans="1:12">
      <c r="A1138" s="342"/>
      <c r="B1138" s="342" t="s">
        <v>637</v>
      </c>
      <c r="C1138" s="126">
        <v>1671</v>
      </c>
      <c r="D1138" s="342"/>
      <c r="E1138" s="342"/>
      <c r="F1138" s="342"/>
      <c r="G1138" s="342"/>
      <c r="H1138" s="342">
        <v>8</v>
      </c>
      <c r="I1138" s="342"/>
      <c r="J1138" s="349" t="s">
        <v>1018</v>
      </c>
      <c r="K1138" s="54" t="s">
        <v>661</v>
      </c>
    </row>
    <row r="1139" spans="1:12">
      <c r="A1139" s="342"/>
      <c r="B1139" s="342" t="s">
        <v>949</v>
      </c>
      <c r="C1139" s="342"/>
      <c r="D1139" s="342"/>
      <c r="E1139" s="342"/>
      <c r="F1139" s="342"/>
      <c r="G1139" s="126">
        <v>10000</v>
      </c>
      <c r="H1139" s="342">
        <v>10</v>
      </c>
      <c r="I1139" s="342"/>
      <c r="J1139" s="53" t="s">
        <v>613</v>
      </c>
      <c r="K1139" s="54"/>
      <c r="L1139" s="71">
        <f>SUM(L1112,K1139)</f>
        <v>0</v>
      </c>
    </row>
    <row r="1140" spans="1:12">
      <c r="A1140" s="342"/>
      <c r="B1140" s="342" t="s">
        <v>825</v>
      </c>
      <c r="C1140" s="342"/>
      <c r="D1140" s="342"/>
      <c r="E1140" s="342"/>
      <c r="F1140" s="342"/>
      <c r="G1140" s="126">
        <v>10000</v>
      </c>
      <c r="H1140" s="342">
        <v>10</v>
      </c>
      <c r="I1140" s="342"/>
      <c r="J1140" s="55" t="s">
        <v>615</v>
      </c>
      <c r="K1140" s="54"/>
      <c r="L1140" s="105">
        <f>SUM(L1113,K1140)</f>
        <v>20194</v>
      </c>
    </row>
    <row r="1141" spans="1:12">
      <c r="A1141" s="342"/>
      <c r="B1141" s="342" t="s">
        <v>1858</v>
      </c>
      <c r="C1141" s="342"/>
      <c r="D1141" s="342"/>
      <c r="E1141" s="342"/>
      <c r="F1141" s="342"/>
      <c r="G1141" s="126">
        <v>10000</v>
      </c>
      <c r="H1141" s="342">
        <v>10</v>
      </c>
      <c r="I1141" s="342"/>
      <c r="J1141" s="56" t="s">
        <v>617</v>
      </c>
      <c r="K1141" s="54">
        <f>SUM(C1166)</f>
        <v>6500</v>
      </c>
      <c r="L1141" s="105">
        <f t="shared" ref="L1141:L1151" si="14">SUM(L1114,K1141)</f>
        <v>26000</v>
      </c>
    </row>
    <row r="1142" spans="1:12">
      <c r="A1142" s="101">
        <v>46089</v>
      </c>
      <c r="B1142" s="342" t="s">
        <v>1940</v>
      </c>
      <c r="C1142" s="126">
        <v>1000</v>
      </c>
      <c r="D1142" s="342"/>
      <c r="E1142" s="342"/>
      <c r="F1142" s="342"/>
      <c r="G1142" s="342"/>
      <c r="H1142" s="342">
        <v>9</v>
      </c>
      <c r="I1142" s="342"/>
      <c r="J1142" s="57" t="s">
        <v>619</v>
      </c>
      <c r="K1142" s="54"/>
      <c r="L1142" s="105">
        <f t="shared" si="14"/>
        <v>0</v>
      </c>
    </row>
    <row r="1143" spans="1:12">
      <c r="A1143" s="101">
        <v>46091</v>
      </c>
      <c r="B1143" s="342" t="s">
        <v>1941</v>
      </c>
      <c r="C1143" s="126">
        <v>760</v>
      </c>
      <c r="D1143" s="342"/>
      <c r="E1143" s="342"/>
      <c r="F1143" s="342"/>
      <c r="G1143" s="342"/>
      <c r="H1143" s="342" t="s">
        <v>648</v>
      </c>
      <c r="I1143" s="342"/>
      <c r="J1143" s="58" t="s">
        <v>621</v>
      </c>
      <c r="K1143" s="54"/>
      <c r="L1143" s="105">
        <f t="shared" si="14"/>
        <v>300</v>
      </c>
    </row>
    <row r="1144" spans="1:12">
      <c r="A1144" s="342"/>
      <c r="B1144" s="342" t="s">
        <v>1942</v>
      </c>
      <c r="C1144" s="342"/>
      <c r="D1144" s="342"/>
      <c r="E1144" s="342"/>
      <c r="F1144" s="342"/>
      <c r="G1144" s="126">
        <v>10000</v>
      </c>
      <c r="H1144" s="342">
        <v>10</v>
      </c>
      <c r="I1144" s="342"/>
      <c r="J1144" s="54" t="s">
        <v>623</v>
      </c>
      <c r="K1144" s="54">
        <f>SUM(C1165)</f>
        <v>10000</v>
      </c>
      <c r="L1144" s="105">
        <f t="shared" si="14"/>
        <v>53000</v>
      </c>
    </row>
    <row r="1145" spans="1:12">
      <c r="A1145" s="342"/>
      <c r="B1145" s="342" t="s">
        <v>1854</v>
      </c>
      <c r="C1145" s="342"/>
      <c r="D1145" s="342"/>
      <c r="E1145" s="342"/>
      <c r="F1145" s="342"/>
      <c r="G1145" s="126">
        <v>10000</v>
      </c>
      <c r="H1145" s="342">
        <v>10</v>
      </c>
      <c r="I1145" s="342"/>
      <c r="J1145" s="54" t="s">
        <v>625</v>
      </c>
      <c r="K1145" s="54">
        <f>SUM(C1148)</f>
        <v>0</v>
      </c>
      <c r="L1145" s="105">
        <f t="shared" si="14"/>
        <v>1500</v>
      </c>
    </row>
    <row r="1146" spans="1:12">
      <c r="A1146" s="342"/>
      <c r="B1146" s="342" t="s">
        <v>1855</v>
      </c>
      <c r="C1146" s="342"/>
      <c r="D1146" s="342"/>
      <c r="E1146" s="342"/>
      <c r="F1146" s="342"/>
      <c r="G1146" s="126">
        <v>10000</v>
      </c>
      <c r="H1146" s="342">
        <v>10</v>
      </c>
      <c r="I1146" s="342"/>
      <c r="J1146" s="54" t="s">
        <v>627</v>
      </c>
      <c r="K1146" s="54">
        <f>SUM(C1143)</f>
        <v>760</v>
      </c>
      <c r="L1146" s="105">
        <f t="shared" si="14"/>
        <v>2280</v>
      </c>
    </row>
    <row r="1147" spans="1:12">
      <c r="A1147" s="342"/>
      <c r="B1147" s="342" t="s">
        <v>1943</v>
      </c>
      <c r="C1147" s="342"/>
      <c r="D1147" s="342"/>
      <c r="E1147" s="342"/>
      <c r="F1147" s="342"/>
      <c r="G1147" s="126">
        <v>2000</v>
      </c>
      <c r="H1147" s="342">
        <v>10</v>
      </c>
      <c r="I1147" s="342"/>
      <c r="J1147" s="54" t="s">
        <v>629</v>
      </c>
      <c r="K1147" s="54"/>
      <c r="L1147" s="105">
        <f t="shared" si="14"/>
        <v>0</v>
      </c>
    </row>
    <row r="1148" spans="1:12">
      <c r="A1148" s="342"/>
      <c r="B1148" s="342" t="s">
        <v>951</v>
      </c>
      <c r="C1148" s="342"/>
      <c r="D1148" s="342"/>
      <c r="E1148" s="342"/>
      <c r="F1148" s="342"/>
      <c r="G1148" s="126">
        <v>10000</v>
      </c>
      <c r="H1148" s="342">
        <v>10</v>
      </c>
      <c r="I1148" s="342"/>
      <c r="J1148" s="54" t="s">
        <v>631</v>
      </c>
      <c r="K1148" s="54">
        <f>SUM(C1137,D1137,C1150)</f>
        <v>13560.42</v>
      </c>
      <c r="L1148" s="105">
        <f t="shared" si="14"/>
        <v>38062.480000000003</v>
      </c>
    </row>
    <row r="1149" spans="1:12">
      <c r="A1149" s="101">
        <v>46094</v>
      </c>
      <c r="B1149" s="342" t="s">
        <v>1944</v>
      </c>
      <c r="C1149" s="126">
        <v>1700</v>
      </c>
      <c r="D1149" s="342"/>
      <c r="E1149" s="342"/>
      <c r="F1149" s="342"/>
      <c r="G1149" s="126"/>
      <c r="H1149" s="342">
        <v>9</v>
      </c>
      <c r="I1149" s="342"/>
      <c r="J1149" s="54" t="s">
        <v>634</v>
      </c>
      <c r="K1149" s="54">
        <f>SUM(C1136,C1138,C1151,C1152,C1153,C1154,D1159,C1163)</f>
        <v>13730.85</v>
      </c>
      <c r="L1149" s="105">
        <f t="shared" si="14"/>
        <v>35892.35</v>
      </c>
    </row>
    <row r="1150" spans="1:12">
      <c r="A1150" s="342"/>
      <c r="B1150" s="342" t="s">
        <v>1945</v>
      </c>
      <c r="C1150" s="126">
        <v>714</v>
      </c>
      <c r="D1150" s="342"/>
      <c r="E1150" s="342"/>
      <c r="F1150" s="342"/>
      <c r="G1150" s="126"/>
      <c r="H1150" s="342">
        <v>7</v>
      </c>
      <c r="I1150" s="342"/>
      <c r="J1150" s="54" t="s">
        <v>636</v>
      </c>
      <c r="K1150" s="63">
        <f>SUM(C1149,C1142)</f>
        <v>2700</v>
      </c>
      <c r="L1150" s="105">
        <f t="shared" si="14"/>
        <v>2700</v>
      </c>
    </row>
    <row r="1151" spans="1:12">
      <c r="A1151" s="101">
        <v>46101</v>
      </c>
      <c r="B1151" s="342" t="s">
        <v>1946</v>
      </c>
      <c r="C1151" s="126">
        <v>4650</v>
      </c>
      <c r="D1151" s="342"/>
      <c r="E1151" s="342"/>
      <c r="F1151" s="342"/>
      <c r="G1151" s="126"/>
      <c r="H1151" s="342">
        <v>8</v>
      </c>
      <c r="I1151" s="342"/>
      <c r="J1151" s="54" t="s">
        <v>638</v>
      </c>
      <c r="K1151" s="54">
        <f>SUM(G1135,G1139,G1140,G1141,G1144,G1145,G1146,G1147,G1148,C1155,C1156,C1157,C1158,G1160,G1161,G1162,G1164)</f>
        <v>108402.13</v>
      </c>
      <c r="L1151" s="105">
        <f t="shared" si="14"/>
        <v>347709.77</v>
      </c>
    </row>
    <row r="1152" spans="1:12">
      <c r="A1152" s="101">
        <v>46104</v>
      </c>
      <c r="B1152" s="342" t="s">
        <v>1947</v>
      </c>
      <c r="C1152" s="126">
        <v>179</v>
      </c>
      <c r="D1152" s="342"/>
      <c r="E1152" s="342"/>
      <c r="F1152" s="342"/>
      <c r="G1152" s="126"/>
      <c r="H1152" s="342">
        <v>8</v>
      </c>
      <c r="I1152" s="342"/>
      <c r="J1152" s="126"/>
      <c r="K1152" s="344">
        <f>SUM(K1139:K1151)</f>
        <v>155653.4</v>
      </c>
      <c r="L1152" s="165">
        <f>SUM(L1139:L1151)</f>
        <v>527638.60000000009</v>
      </c>
    </row>
    <row r="1153" spans="1:12">
      <c r="A1153" s="342"/>
      <c r="B1153" s="342" t="s">
        <v>1949</v>
      </c>
      <c r="C1153" s="126">
        <v>1400</v>
      </c>
      <c r="D1153" s="342"/>
      <c r="E1153" s="342"/>
      <c r="F1153" s="342"/>
      <c r="G1153" s="126"/>
      <c r="H1153" s="342">
        <v>8</v>
      </c>
      <c r="I1153" s="342"/>
      <c r="J1153" s="126"/>
      <c r="K1153" s="387"/>
      <c r="L1153" s="165">
        <f>SUM(L1126,K1152)</f>
        <v>527638.6</v>
      </c>
    </row>
    <row r="1154" spans="1:12">
      <c r="A1154" s="342"/>
      <c r="B1154" s="342" t="s">
        <v>1948</v>
      </c>
      <c r="C1154" s="126">
        <v>1200</v>
      </c>
      <c r="D1154" s="342"/>
      <c r="E1154" s="342"/>
      <c r="F1154" s="342"/>
      <c r="G1154" s="126"/>
      <c r="H1154" s="342">
        <v>8</v>
      </c>
      <c r="I1154" s="342"/>
      <c r="J1154" s="342"/>
    </row>
    <row r="1155" spans="1:12">
      <c r="A1155" s="101">
        <v>46105</v>
      </c>
      <c r="B1155" s="342" t="s">
        <v>1950</v>
      </c>
      <c r="C1155" s="126">
        <v>1610</v>
      </c>
      <c r="D1155" s="342"/>
      <c r="E1155" s="342"/>
      <c r="F1155" s="342"/>
      <c r="G1155" s="126"/>
      <c r="H1155" s="342">
        <v>10</v>
      </c>
      <c r="I1155" s="342"/>
      <c r="J1155" s="342"/>
    </row>
    <row r="1156" spans="1:12">
      <c r="A1156" s="342"/>
      <c r="B1156" s="342" t="s">
        <v>1951</v>
      </c>
      <c r="C1156" s="126">
        <v>1050</v>
      </c>
      <c r="D1156" s="342"/>
      <c r="E1156" s="342"/>
      <c r="F1156" s="342"/>
      <c r="G1156" s="126"/>
      <c r="H1156" s="342">
        <v>10</v>
      </c>
      <c r="I1156" s="342"/>
      <c r="J1156" s="342"/>
    </row>
    <row r="1157" spans="1:12">
      <c r="A1157" s="342"/>
      <c r="B1157" s="342" t="s">
        <v>1952</v>
      </c>
      <c r="C1157" s="126">
        <v>450</v>
      </c>
      <c r="D1157" s="342"/>
      <c r="E1157" s="342"/>
      <c r="F1157" s="342"/>
      <c r="G1157" s="342"/>
      <c r="H1157" s="342">
        <v>10</v>
      </c>
      <c r="I1157" s="342"/>
      <c r="J1157" s="342"/>
    </row>
    <row r="1158" spans="1:12">
      <c r="A1158" s="342"/>
      <c r="B1158" s="342" t="s">
        <v>1953</v>
      </c>
      <c r="C1158" s="126">
        <v>200</v>
      </c>
      <c r="D1158" s="342"/>
      <c r="E1158" s="342"/>
      <c r="F1158" s="342"/>
      <c r="G1158" s="342"/>
      <c r="H1158" s="342">
        <v>10</v>
      </c>
      <c r="I1158" s="342"/>
      <c r="J1158" s="342"/>
    </row>
    <row r="1159" spans="1:12">
      <c r="A1159" s="101">
        <v>46106</v>
      </c>
      <c r="B1159" s="342" t="s">
        <v>1954</v>
      </c>
      <c r="C1159" s="342"/>
      <c r="D1159" s="126">
        <v>629.75</v>
      </c>
      <c r="E1159" s="342"/>
      <c r="F1159" s="342"/>
      <c r="G1159" s="342"/>
      <c r="H1159" s="342">
        <v>8</v>
      </c>
      <c r="I1159" s="342"/>
      <c r="J1159" s="342"/>
    </row>
    <row r="1160" spans="1:12">
      <c r="A1160" s="342"/>
      <c r="B1160" s="342" t="s">
        <v>1854</v>
      </c>
      <c r="C1160" s="342"/>
      <c r="D1160" s="342"/>
      <c r="E1160" s="342"/>
      <c r="F1160" s="342"/>
      <c r="G1160" s="126">
        <v>10000</v>
      </c>
      <c r="H1160" s="342">
        <v>10</v>
      </c>
      <c r="I1160" s="342"/>
      <c r="J1160" s="342"/>
    </row>
    <row r="1161" spans="1:12">
      <c r="B1161" s="342" t="s">
        <v>1955</v>
      </c>
      <c r="G1161" s="126">
        <v>10000</v>
      </c>
      <c r="H1161" s="342">
        <v>10</v>
      </c>
    </row>
    <row r="1162" spans="1:12">
      <c r="B1162" s="342" t="s">
        <v>1856</v>
      </c>
      <c r="G1162" s="126">
        <v>2000</v>
      </c>
      <c r="H1162" s="342">
        <v>10</v>
      </c>
    </row>
    <row r="1163" spans="1:12">
      <c r="A1163" s="101">
        <v>46109</v>
      </c>
      <c r="B1163" s="342" t="s">
        <v>1266</v>
      </c>
      <c r="C1163" s="126">
        <v>1161.0999999999999</v>
      </c>
      <c r="H1163" s="342">
        <v>8</v>
      </c>
    </row>
    <row r="1164" spans="1:12">
      <c r="B1164" s="342" t="s">
        <v>1956</v>
      </c>
      <c r="G1164" s="126">
        <v>6000</v>
      </c>
      <c r="H1164" s="342">
        <v>10</v>
      </c>
    </row>
    <row r="1165" spans="1:12">
      <c r="A1165" s="101">
        <v>46112</v>
      </c>
      <c r="B1165" s="342" t="s">
        <v>1957</v>
      </c>
      <c r="C1165" s="17">
        <v>10000</v>
      </c>
      <c r="D1165" s="23">
        <v>6500</v>
      </c>
      <c r="H1165" s="342">
        <v>6</v>
      </c>
    </row>
    <row r="1166" spans="1:12">
      <c r="B1166" s="342" t="s">
        <v>749</v>
      </c>
      <c r="C1166" s="126">
        <v>6500</v>
      </c>
      <c r="H1166" s="342">
        <v>3</v>
      </c>
    </row>
    <row r="1167" spans="1:12">
      <c r="A1167" s="345" t="s">
        <v>1958</v>
      </c>
      <c r="B1167" s="345" t="s">
        <v>960</v>
      </c>
      <c r="C1167" s="158">
        <f>SUM(C1135:C1166)</f>
        <v>47860.78</v>
      </c>
      <c r="D1167" s="345">
        <f>SUM(D1135:D1166)</f>
        <v>9200.49</v>
      </c>
      <c r="E1167" s="345"/>
      <c r="F1167" s="345"/>
      <c r="G1167" s="161">
        <f>SUM(G1135:G1166)</f>
        <v>105092.13</v>
      </c>
      <c r="H1167" s="367"/>
      <c r="I1167" s="368">
        <f>SUM(C1167:G1167)</f>
        <v>162153.4</v>
      </c>
    </row>
    <row r="1168" spans="1:12">
      <c r="A1168" s="356" t="s">
        <v>1131</v>
      </c>
    </row>
    <row r="1169" spans="1:12">
      <c r="A1169" s="101">
        <v>46113</v>
      </c>
      <c r="B1169" s="342" t="s">
        <v>1985</v>
      </c>
      <c r="C1169" s="126">
        <v>230</v>
      </c>
      <c r="D1169" s="126"/>
      <c r="E1169" s="126"/>
      <c r="F1169" s="126"/>
      <c r="G1169" s="126"/>
      <c r="H1169" s="126">
        <v>2</v>
      </c>
      <c r="I1169" s="126"/>
      <c r="J1169" s="126"/>
    </row>
    <row r="1170" spans="1:12">
      <c r="A1170" s="101">
        <v>46118</v>
      </c>
      <c r="B1170" s="342" t="s">
        <v>1986</v>
      </c>
      <c r="C1170" s="126">
        <v>9520.73</v>
      </c>
      <c r="D1170" s="126">
        <v>1628.89</v>
      </c>
      <c r="E1170" s="126"/>
      <c r="F1170" s="126"/>
      <c r="G1170" s="126"/>
      <c r="H1170" s="126">
        <v>7</v>
      </c>
      <c r="I1170" s="126"/>
      <c r="J1170" s="126"/>
    </row>
    <row r="1171" spans="1:12">
      <c r="A1171" s="101">
        <v>46120</v>
      </c>
      <c r="B1171" s="342" t="s">
        <v>1858</v>
      </c>
      <c r="C1171" s="389"/>
      <c r="D1171" s="126"/>
      <c r="E1171" s="126"/>
      <c r="F1171" s="126"/>
      <c r="G1171" s="126">
        <v>10000</v>
      </c>
      <c r="H1171" s="126">
        <v>10</v>
      </c>
      <c r="I1171" s="126"/>
      <c r="J1171" s="349" t="s">
        <v>721</v>
      </c>
      <c r="K1171" s="54" t="s">
        <v>661</v>
      </c>
    </row>
    <row r="1172" spans="1:12">
      <c r="A1172" s="342"/>
      <c r="B1172" s="342" t="s">
        <v>1988</v>
      </c>
      <c r="C1172" s="389"/>
      <c r="D1172" s="126"/>
      <c r="E1172" s="126"/>
      <c r="F1172" s="126"/>
      <c r="G1172" s="126">
        <v>10000</v>
      </c>
      <c r="H1172" s="126">
        <v>10</v>
      </c>
      <c r="I1172" s="126"/>
      <c r="J1172" s="53" t="s">
        <v>613</v>
      </c>
      <c r="K1172" s="54"/>
      <c r="L1172" s="71"/>
    </row>
    <row r="1173" spans="1:12">
      <c r="A1173" s="342"/>
      <c r="B1173" s="342" t="s">
        <v>1987</v>
      </c>
      <c r="C1173" s="389"/>
      <c r="D1173" s="126"/>
      <c r="E1173" s="126"/>
      <c r="F1173" s="126"/>
      <c r="G1173" s="126">
        <v>10000</v>
      </c>
      <c r="H1173" s="126">
        <v>10</v>
      </c>
      <c r="I1173" s="126"/>
      <c r="J1173" s="55" t="s">
        <v>615</v>
      </c>
      <c r="K1173" s="54">
        <f>SUM(C1169,C1178)</f>
        <v>8730</v>
      </c>
      <c r="L1173" s="105">
        <f>SUM(L1140,K1173)</f>
        <v>28924</v>
      </c>
    </row>
    <row r="1174" spans="1:12">
      <c r="A1174" s="342"/>
      <c r="B1174" s="342" t="s">
        <v>1989</v>
      </c>
      <c r="C1174" s="126">
        <v>714</v>
      </c>
      <c r="D1174" s="126"/>
      <c r="E1174" s="126"/>
      <c r="F1174" s="126"/>
      <c r="G1174" s="126"/>
      <c r="H1174" s="126">
        <v>7</v>
      </c>
      <c r="I1174" s="126"/>
      <c r="J1174" s="56" t="s">
        <v>617</v>
      </c>
      <c r="K1174" s="54">
        <f>SUM(C1204)</f>
        <v>6500</v>
      </c>
      <c r="L1174" s="105">
        <f>SUM(L1141,K1174)</f>
        <v>32500</v>
      </c>
    </row>
    <row r="1175" spans="1:12">
      <c r="A1175" s="342"/>
      <c r="B1175" s="342" t="s">
        <v>1990</v>
      </c>
      <c r="C1175" s="126">
        <v>1184.52</v>
      </c>
      <c r="D1175" s="126"/>
      <c r="E1175" s="126"/>
      <c r="F1175" s="126"/>
      <c r="G1175" s="126"/>
      <c r="H1175" s="126">
        <v>8</v>
      </c>
      <c r="I1175" s="126"/>
      <c r="J1175" s="57" t="s">
        <v>619</v>
      </c>
      <c r="K1175" s="54"/>
      <c r="L1175" s="105"/>
    </row>
    <row r="1176" spans="1:12">
      <c r="A1176" s="342"/>
      <c r="B1176" s="342" t="s">
        <v>1132</v>
      </c>
      <c r="C1176" s="126">
        <v>950</v>
      </c>
      <c r="D1176" s="126"/>
      <c r="E1176" s="126"/>
      <c r="F1176" s="126"/>
      <c r="G1176" s="126"/>
      <c r="H1176" s="126">
        <v>8</v>
      </c>
      <c r="I1176" s="126"/>
      <c r="J1176" s="58" t="s">
        <v>621</v>
      </c>
      <c r="K1176" s="54"/>
      <c r="L1176" s="105">
        <f>SUM(L1143,K1176)</f>
        <v>300</v>
      </c>
    </row>
    <row r="1177" spans="1:12">
      <c r="A1177" s="342"/>
      <c r="B1177" s="342" t="s">
        <v>1990</v>
      </c>
      <c r="C1177" s="126">
        <v>2733.66</v>
      </c>
      <c r="D1177" s="126"/>
      <c r="E1177" s="126"/>
      <c r="F1177" s="126"/>
      <c r="G1177" s="126"/>
      <c r="H1177" s="126">
        <v>8</v>
      </c>
      <c r="I1177" s="126"/>
      <c r="J1177" s="54" t="s">
        <v>623</v>
      </c>
      <c r="K1177" s="54">
        <f>SUM(C1203,D1203)</f>
        <v>16500</v>
      </c>
      <c r="L1177" s="105">
        <f>SUM(L1144,K1177)</f>
        <v>69500</v>
      </c>
    </row>
    <row r="1178" spans="1:12">
      <c r="A1178" s="342"/>
      <c r="B1178" s="342" t="s">
        <v>1991</v>
      </c>
      <c r="C1178" s="126">
        <v>8500</v>
      </c>
      <c r="D1178" s="126"/>
      <c r="E1178" s="126"/>
      <c r="F1178" s="126"/>
      <c r="G1178" s="126"/>
      <c r="H1178" s="126">
        <v>2</v>
      </c>
      <c r="I1178" s="126"/>
      <c r="J1178" s="54" t="s">
        <v>625</v>
      </c>
      <c r="K1178" s="54"/>
      <c r="L1178" s="105">
        <f>SUM(L1145,K1178)</f>
        <v>1500</v>
      </c>
    </row>
    <row r="1179" spans="1:12">
      <c r="A1179" s="101">
        <v>46122</v>
      </c>
      <c r="B1179" s="342" t="s">
        <v>637</v>
      </c>
      <c r="C1179" s="126">
        <v>309</v>
      </c>
      <c r="D1179" s="126"/>
      <c r="E1179" s="126"/>
      <c r="F1179" s="126"/>
      <c r="G1179" s="126"/>
      <c r="H1179" s="126">
        <v>8</v>
      </c>
      <c r="I1179" s="126"/>
      <c r="J1179" s="54" t="s">
        <v>627</v>
      </c>
      <c r="K1179" s="54">
        <f>SUM(C1186)</f>
        <v>760</v>
      </c>
      <c r="L1179" s="105">
        <f>SUM(L1146,K1179)</f>
        <v>3040</v>
      </c>
    </row>
    <row r="1180" spans="1:12">
      <c r="A1180" s="342"/>
      <c r="B1180" s="342" t="s">
        <v>1990</v>
      </c>
      <c r="C1180" s="126">
        <v>3774.65</v>
      </c>
      <c r="D1180" s="126"/>
      <c r="E1180" s="126"/>
      <c r="F1180" s="126"/>
      <c r="G1180" s="126"/>
      <c r="H1180" s="126">
        <v>8</v>
      </c>
      <c r="I1180" s="126"/>
      <c r="J1180" s="54" t="s">
        <v>629</v>
      </c>
      <c r="K1180" s="54"/>
      <c r="L1180" s="105"/>
    </row>
    <row r="1181" spans="1:12">
      <c r="A1181" s="101">
        <v>46123</v>
      </c>
      <c r="B1181" s="342" t="s">
        <v>1992</v>
      </c>
      <c r="C1181" s="126"/>
      <c r="D1181" s="126"/>
      <c r="E1181" s="126"/>
      <c r="F1181" s="126"/>
      <c r="G1181" s="126">
        <v>12000</v>
      </c>
      <c r="H1181" s="126">
        <v>10</v>
      </c>
      <c r="I1181" s="126"/>
      <c r="J1181" s="54" t="s">
        <v>631</v>
      </c>
      <c r="K1181" s="54">
        <f>SUM(C1170,D1170,C1174)</f>
        <v>11863.619999999999</v>
      </c>
      <c r="L1181" s="105">
        <f>SUM(L1148,K1181)</f>
        <v>49926.100000000006</v>
      </c>
    </row>
    <row r="1182" spans="1:12">
      <c r="A1182" s="101">
        <v>46124</v>
      </c>
      <c r="B1182" s="342" t="s">
        <v>1993</v>
      </c>
      <c r="C1182" s="126">
        <v>2620</v>
      </c>
      <c r="D1182" s="126"/>
      <c r="E1182" s="126"/>
      <c r="F1182" s="126"/>
      <c r="G1182" s="126"/>
      <c r="H1182" s="126">
        <v>8</v>
      </c>
      <c r="I1182" s="126"/>
      <c r="J1182" s="54" t="s">
        <v>634</v>
      </c>
      <c r="K1182" s="54">
        <f>SUM(C1175,C1176,C1177,C1179,C1180,C1182:C1185,C1188:C1190,D1191,C1192,C1193:C1201)</f>
        <v>52187.12</v>
      </c>
      <c r="L1182" s="105">
        <f>SUM(L1149,K1182)</f>
        <v>88079.47</v>
      </c>
    </row>
    <row r="1183" spans="1:12">
      <c r="A1183" s="342"/>
      <c r="B1183" s="342" t="s">
        <v>1501</v>
      </c>
      <c r="C1183" s="126">
        <v>1500</v>
      </c>
      <c r="D1183" s="126"/>
      <c r="E1183" s="126"/>
      <c r="F1183" s="126"/>
      <c r="G1183" s="126"/>
      <c r="H1183" s="126">
        <v>8</v>
      </c>
      <c r="I1183" s="126"/>
      <c r="J1183" s="54" t="s">
        <v>636</v>
      </c>
      <c r="K1183" s="63">
        <f>SUM(C1202)</f>
        <v>700</v>
      </c>
      <c r="L1183" s="105">
        <f>SUM(L1150,K1183)</f>
        <v>3400</v>
      </c>
    </row>
    <row r="1184" spans="1:12">
      <c r="A1184" s="342"/>
      <c r="B1184" s="342" t="s">
        <v>1994</v>
      </c>
      <c r="C1184" s="126">
        <v>2800</v>
      </c>
      <c r="D1184" s="126"/>
      <c r="E1184" s="126"/>
      <c r="F1184" s="126"/>
      <c r="G1184" s="126"/>
      <c r="H1184" s="126">
        <v>8</v>
      </c>
      <c r="I1184" s="126"/>
      <c r="J1184" s="54" t="s">
        <v>638</v>
      </c>
      <c r="K1184" s="54">
        <f>SUM(G1171,G1172,G1173,G1181,G1187)</f>
        <v>52000</v>
      </c>
      <c r="L1184" s="105">
        <f>SUM(L1151,K1184)</f>
        <v>399709.77</v>
      </c>
    </row>
    <row r="1185" spans="1:12">
      <c r="A1185" s="342"/>
      <c r="B1185" s="342" t="s">
        <v>1995</v>
      </c>
      <c r="C1185" s="126">
        <v>2800</v>
      </c>
      <c r="D1185" s="126"/>
      <c r="E1185" s="126"/>
      <c r="F1185" s="126"/>
      <c r="G1185" s="126"/>
      <c r="H1185" s="126">
        <v>8</v>
      </c>
      <c r="I1185" s="126"/>
      <c r="J1185" s="126"/>
      <c r="K1185" s="344">
        <f>SUM(K1172:K1184)</f>
        <v>149240.74</v>
      </c>
      <c r="L1185" s="165">
        <f>SUM(L1172:L1184)</f>
        <v>676879.34000000008</v>
      </c>
    </row>
    <row r="1186" spans="1:12">
      <c r="A1186" s="101">
        <v>46125</v>
      </c>
      <c r="B1186" s="342" t="s">
        <v>1996</v>
      </c>
      <c r="C1186" s="126">
        <v>760</v>
      </c>
      <c r="D1186" s="126"/>
      <c r="E1186" s="126"/>
      <c r="F1186" s="126"/>
      <c r="G1186" s="126"/>
      <c r="H1186" s="126" t="s">
        <v>648</v>
      </c>
      <c r="I1186" s="126"/>
      <c r="J1186" s="126"/>
      <c r="K1186" s="387"/>
      <c r="L1186" s="165">
        <f>SUM(L1152,K1185)</f>
        <v>676879.34000000008</v>
      </c>
    </row>
    <row r="1187" spans="1:12">
      <c r="A1187" s="342"/>
      <c r="B1187" s="342" t="s">
        <v>1997</v>
      </c>
      <c r="C1187" s="126"/>
      <c r="D1187" s="126"/>
      <c r="E1187" s="126"/>
      <c r="F1187" s="126"/>
      <c r="G1187" s="126">
        <v>10000</v>
      </c>
      <c r="H1187" s="126">
        <v>10</v>
      </c>
      <c r="I1187" s="126"/>
      <c r="J1187" s="342"/>
    </row>
    <row r="1188" spans="1:12">
      <c r="A1188" s="101">
        <v>46126</v>
      </c>
      <c r="B1188" s="342" t="s">
        <v>1998</v>
      </c>
      <c r="C1188" s="126">
        <v>465</v>
      </c>
      <c r="D1188" s="352"/>
      <c r="E1188" s="126"/>
      <c r="F1188" s="126"/>
      <c r="G1188" s="126"/>
      <c r="H1188" s="126">
        <v>8</v>
      </c>
      <c r="I1188" s="126"/>
      <c r="J1188" s="126"/>
    </row>
    <row r="1189" spans="1:12">
      <c r="A1189" s="101">
        <v>46127</v>
      </c>
      <c r="B1189" s="342" t="s">
        <v>1999</v>
      </c>
      <c r="C1189" s="342">
        <v>3680</v>
      </c>
      <c r="D1189" s="352"/>
      <c r="H1189" s="126">
        <v>8</v>
      </c>
    </row>
    <row r="1190" spans="1:12">
      <c r="A1190" s="101">
        <v>46129</v>
      </c>
      <c r="B1190" s="342" t="s">
        <v>2000</v>
      </c>
      <c r="C1190" s="126">
        <v>8740</v>
      </c>
      <c r="H1190" s="126">
        <v>8</v>
      </c>
    </row>
    <row r="1191" spans="1:12">
      <c r="A1191" s="342"/>
      <c r="B1191" s="342" t="s">
        <v>2001</v>
      </c>
      <c r="D1191" s="126">
        <v>798</v>
      </c>
      <c r="H1191" s="126">
        <v>8</v>
      </c>
    </row>
    <row r="1192" spans="1:12">
      <c r="A1192" s="101">
        <v>46130</v>
      </c>
      <c r="B1192" s="342" t="s">
        <v>2002</v>
      </c>
      <c r="C1192" s="126">
        <v>352.29</v>
      </c>
      <c r="H1192" s="126">
        <v>8</v>
      </c>
    </row>
    <row r="1193" spans="1:12">
      <c r="A1193" s="342"/>
      <c r="B1193" s="342" t="s">
        <v>2003</v>
      </c>
      <c r="C1193" s="126">
        <v>4200</v>
      </c>
      <c r="H1193" s="126">
        <v>8</v>
      </c>
    </row>
    <row r="1194" spans="1:12">
      <c r="A1194" s="342"/>
      <c r="B1194" s="342" t="s">
        <v>2004</v>
      </c>
      <c r="C1194" s="126">
        <v>4200</v>
      </c>
      <c r="H1194" s="126">
        <v>8</v>
      </c>
    </row>
    <row r="1195" spans="1:12">
      <c r="A1195" s="101">
        <v>46134</v>
      </c>
      <c r="B1195" s="342" t="s">
        <v>2005</v>
      </c>
      <c r="C1195" s="126">
        <v>190</v>
      </c>
      <c r="H1195" s="126">
        <v>8</v>
      </c>
    </row>
    <row r="1196" spans="1:12">
      <c r="A1196" s="342"/>
      <c r="B1196" s="342" t="s">
        <v>2006</v>
      </c>
      <c r="C1196" s="126">
        <v>1081</v>
      </c>
      <c r="H1196" s="126">
        <v>8</v>
      </c>
    </row>
    <row r="1197" spans="1:12">
      <c r="A1197" s="101">
        <v>46135</v>
      </c>
      <c r="B1197" s="342" t="s">
        <v>2002</v>
      </c>
      <c r="C1197" s="126">
        <v>920</v>
      </c>
      <c r="H1197" s="126">
        <v>8</v>
      </c>
    </row>
    <row r="1198" spans="1:12">
      <c r="A1198" s="101">
        <v>46137</v>
      </c>
      <c r="B1198" s="342" t="s">
        <v>1782</v>
      </c>
      <c r="C1198" s="126">
        <v>290</v>
      </c>
      <c r="H1198" s="126">
        <v>8</v>
      </c>
    </row>
    <row r="1199" spans="1:12">
      <c r="B1199" s="342" t="s">
        <v>1990</v>
      </c>
      <c r="C1199" s="126">
        <v>199</v>
      </c>
      <c r="H1199" s="126">
        <v>8</v>
      </c>
    </row>
    <row r="1200" spans="1:12">
      <c r="B1200" s="342" t="s">
        <v>2007</v>
      </c>
      <c r="C1200" s="126">
        <v>4200</v>
      </c>
      <c r="H1200" s="126">
        <v>8</v>
      </c>
    </row>
    <row r="1201" spans="1:12">
      <c r="B1201" s="342" t="s">
        <v>2008</v>
      </c>
      <c r="C1201" s="126">
        <v>4200</v>
      </c>
      <c r="H1201" s="126">
        <v>8</v>
      </c>
    </row>
    <row r="1202" spans="1:12">
      <c r="A1202" s="101">
        <v>46141</v>
      </c>
      <c r="B1202" s="342" t="s">
        <v>2009</v>
      </c>
      <c r="C1202" s="126">
        <v>700</v>
      </c>
      <c r="H1202" s="126">
        <v>9</v>
      </c>
    </row>
    <row r="1203" spans="1:12">
      <c r="A1203" s="101">
        <v>46142</v>
      </c>
      <c r="B1203" s="342" t="s">
        <v>2010</v>
      </c>
      <c r="C1203" s="17">
        <v>10000</v>
      </c>
      <c r="D1203" s="23">
        <v>6500</v>
      </c>
      <c r="H1203" s="126">
        <v>6</v>
      </c>
    </row>
    <row r="1204" spans="1:12">
      <c r="B1204" s="342" t="s">
        <v>749</v>
      </c>
      <c r="C1204" s="126">
        <v>6500</v>
      </c>
      <c r="H1204" s="126">
        <v>3</v>
      </c>
    </row>
    <row r="1205" spans="1:12">
      <c r="A1205" s="390" t="s">
        <v>1131</v>
      </c>
      <c r="B1205" s="390" t="s">
        <v>2011</v>
      </c>
      <c r="C1205" s="391">
        <f>SUM(C1169:C1204)</f>
        <v>88313.85</v>
      </c>
      <c r="D1205" s="391">
        <f>SUM(D1169:D1204)</f>
        <v>8926.89</v>
      </c>
      <c r="E1205" s="392"/>
      <c r="F1205" s="392"/>
      <c r="G1205" s="391">
        <f>SUM(G1169:G1204)</f>
        <v>52000</v>
      </c>
      <c r="H1205" s="392"/>
      <c r="I1205" s="391">
        <f>SUM(C1205:H1205)</f>
        <v>149240.74</v>
      </c>
    </row>
    <row r="1206" spans="1:12">
      <c r="A1206" s="356" t="s">
        <v>1155</v>
      </c>
    </row>
    <row r="1207" spans="1:12">
      <c r="A1207" s="101">
        <v>46143</v>
      </c>
      <c r="B1207" s="342" t="s">
        <v>637</v>
      </c>
      <c r="C1207" s="126"/>
      <c r="D1207" s="126">
        <v>851</v>
      </c>
      <c r="E1207" s="126"/>
      <c r="F1207" s="126"/>
      <c r="G1207" s="126"/>
      <c r="H1207" s="126">
        <v>10</v>
      </c>
      <c r="I1207" s="126"/>
      <c r="J1207" s="126"/>
    </row>
    <row r="1208" spans="1:12">
      <c r="A1208" s="342"/>
      <c r="B1208" s="342" t="s">
        <v>2109</v>
      </c>
      <c r="C1208" s="126"/>
      <c r="D1208" s="126">
        <v>2066</v>
      </c>
      <c r="E1208" s="126"/>
      <c r="F1208" s="126"/>
      <c r="G1208" s="126"/>
      <c r="H1208" s="126">
        <v>10</v>
      </c>
      <c r="I1208" s="126"/>
      <c r="J1208" s="126"/>
    </row>
    <row r="1209" spans="1:12">
      <c r="A1209" s="101">
        <v>46144</v>
      </c>
      <c r="B1209" s="342" t="s">
        <v>2110</v>
      </c>
      <c r="C1209" s="126">
        <v>350</v>
      </c>
      <c r="D1209" s="126"/>
      <c r="E1209" s="126"/>
      <c r="F1209" s="126"/>
      <c r="G1209" s="126"/>
      <c r="H1209" s="126">
        <v>8</v>
      </c>
      <c r="I1209" s="126"/>
      <c r="J1209" s="126"/>
      <c r="K1209" s="352"/>
    </row>
    <row r="1210" spans="1:12">
      <c r="A1210" s="342"/>
      <c r="B1210" s="342" t="s">
        <v>2111</v>
      </c>
      <c r="C1210" s="126">
        <v>210</v>
      </c>
      <c r="D1210" s="126"/>
      <c r="E1210" s="126"/>
      <c r="F1210" s="126"/>
      <c r="G1210" s="126"/>
      <c r="H1210" s="126">
        <v>8</v>
      </c>
      <c r="I1210" s="126"/>
      <c r="J1210" s="126"/>
      <c r="K1210" s="352"/>
    </row>
    <row r="1211" spans="1:12">
      <c r="A1211" s="342"/>
      <c r="B1211" s="342" t="s">
        <v>2112</v>
      </c>
      <c r="C1211" s="126">
        <v>3500</v>
      </c>
      <c r="D1211" s="126"/>
      <c r="E1211" s="126"/>
      <c r="F1211" s="126"/>
      <c r="G1211" s="126"/>
      <c r="H1211" s="126">
        <v>8</v>
      </c>
      <c r="I1211" s="126"/>
      <c r="J1211" s="126"/>
      <c r="K1211" s="352"/>
    </row>
    <row r="1212" spans="1:12">
      <c r="A1212" s="342"/>
      <c r="B1212" s="342" t="s">
        <v>2113</v>
      </c>
      <c r="C1212" s="126">
        <v>3500</v>
      </c>
      <c r="D1212" s="126"/>
      <c r="E1212" s="126"/>
      <c r="F1212" s="126"/>
      <c r="G1212" s="126"/>
      <c r="H1212" s="126">
        <v>8</v>
      </c>
      <c r="I1212" s="126"/>
      <c r="J1212" s="126"/>
      <c r="K1212" s="352"/>
    </row>
    <row r="1213" spans="1:12">
      <c r="A1213" s="101">
        <v>46145</v>
      </c>
      <c r="B1213" s="342" t="s">
        <v>2114</v>
      </c>
      <c r="C1213" s="126"/>
      <c r="D1213" s="126">
        <v>3364.59</v>
      </c>
      <c r="E1213" s="126"/>
      <c r="F1213" s="126"/>
      <c r="G1213" s="126"/>
      <c r="H1213" s="126">
        <v>10</v>
      </c>
      <c r="I1213" s="126"/>
      <c r="J1213" s="126"/>
      <c r="K1213" s="352"/>
    </row>
    <row r="1214" spans="1:12">
      <c r="A1214" s="342"/>
      <c r="B1214" s="342" t="s">
        <v>2115</v>
      </c>
      <c r="C1214" s="126">
        <v>295</v>
      </c>
      <c r="D1214" s="126"/>
      <c r="E1214" s="126"/>
      <c r="F1214" s="126"/>
      <c r="G1214" s="126"/>
      <c r="H1214" s="126">
        <v>8</v>
      </c>
      <c r="I1214" s="126"/>
      <c r="J1214" s="349" t="s">
        <v>1155</v>
      </c>
      <c r="K1214" s="54" t="s">
        <v>661</v>
      </c>
    </row>
    <row r="1215" spans="1:12">
      <c r="A1215" s="101">
        <v>46146</v>
      </c>
      <c r="B1215" s="342" t="s">
        <v>2116</v>
      </c>
      <c r="C1215" s="126">
        <v>11937.03</v>
      </c>
      <c r="D1215" s="126">
        <v>2633.11</v>
      </c>
      <c r="E1215" s="126"/>
      <c r="F1215" s="126"/>
      <c r="G1215" s="126"/>
      <c r="H1215" s="126">
        <v>7</v>
      </c>
      <c r="I1215" s="126"/>
      <c r="J1215" s="53" t="s">
        <v>613</v>
      </c>
      <c r="K1215" s="54"/>
      <c r="L1215" s="71">
        <f>SUM(L1172,K1215)</f>
        <v>0</v>
      </c>
    </row>
    <row r="1216" spans="1:12">
      <c r="A1216" s="101">
        <v>46147</v>
      </c>
      <c r="B1216" s="342" t="s">
        <v>2117</v>
      </c>
      <c r="C1216" s="126">
        <v>1000</v>
      </c>
      <c r="D1216" s="126"/>
      <c r="E1216" s="126"/>
      <c r="F1216" s="126"/>
      <c r="G1216" s="126"/>
      <c r="H1216" s="126">
        <v>9</v>
      </c>
      <c r="I1216" s="126"/>
      <c r="J1216" s="55" t="s">
        <v>615</v>
      </c>
      <c r="K1216" s="54"/>
      <c r="L1216" s="105">
        <f>SUM(L1173,K1216)</f>
        <v>28924</v>
      </c>
    </row>
    <row r="1217" spans="1:12">
      <c r="A1217" s="101">
        <v>46148</v>
      </c>
      <c r="B1217" s="342" t="s">
        <v>2118</v>
      </c>
      <c r="C1217" s="126">
        <v>3120.75</v>
      </c>
      <c r="D1217" s="126"/>
      <c r="E1217" s="126"/>
      <c r="F1217" s="126"/>
      <c r="G1217" s="126"/>
      <c r="H1217" s="126">
        <v>8</v>
      </c>
      <c r="I1217" s="126"/>
      <c r="J1217" s="56" t="s">
        <v>617</v>
      </c>
      <c r="K1217" s="54">
        <f>SUM(C1255)</f>
        <v>6500</v>
      </c>
      <c r="L1217" s="105">
        <f>SUM(L1174,K1217)</f>
        <v>39000</v>
      </c>
    </row>
    <row r="1218" spans="1:12">
      <c r="A1218" s="101">
        <v>46150</v>
      </c>
      <c r="B1218" s="342" t="s">
        <v>2119</v>
      </c>
      <c r="D1218" s="126"/>
      <c r="E1218" s="126"/>
      <c r="F1218" s="126"/>
      <c r="G1218" s="126">
        <v>30000</v>
      </c>
      <c r="H1218" s="126">
        <v>10</v>
      </c>
      <c r="I1218" s="126"/>
      <c r="J1218" s="57" t="s">
        <v>619</v>
      </c>
      <c r="K1218" s="54"/>
      <c r="L1218" s="105"/>
    </row>
    <row r="1219" spans="1:12">
      <c r="A1219" s="101">
        <v>46151</v>
      </c>
      <c r="B1219" s="342" t="s">
        <v>2120</v>
      </c>
      <c r="C1219" s="126">
        <v>4200</v>
      </c>
      <c r="D1219" s="126"/>
      <c r="E1219" s="126"/>
      <c r="F1219" s="126"/>
      <c r="G1219" s="126"/>
      <c r="H1219" s="126">
        <v>8</v>
      </c>
      <c r="I1219" s="126"/>
      <c r="J1219" s="58" t="s">
        <v>621</v>
      </c>
      <c r="K1219" s="54"/>
      <c r="L1219" s="105">
        <f>SUM(L1176,K1219)</f>
        <v>300</v>
      </c>
    </row>
    <row r="1220" spans="1:12">
      <c r="A1220" s="342"/>
      <c r="B1220" s="342" t="s">
        <v>2121</v>
      </c>
      <c r="C1220" s="126">
        <v>4200</v>
      </c>
      <c r="D1220" s="126"/>
      <c r="E1220" s="126"/>
      <c r="F1220" s="126"/>
      <c r="G1220" s="126"/>
      <c r="H1220" s="126">
        <v>8</v>
      </c>
      <c r="I1220" s="126"/>
      <c r="J1220" s="54" t="s">
        <v>623</v>
      </c>
      <c r="K1220" s="54">
        <f>SUM(C1254,D1254)</f>
        <v>16500</v>
      </c>
      <c r="L1220" s="105">
        <f>SUM(L1177,K1220)</f>
        <v>86000</v>
      </c>
    </row>
    <row r="1221" spans="1:12">
      <c r="A1221" s="101">
        <v>46152</v>
      </c>
      <c r="B1221" s="342" t="s">
        <v>2122</v>
      </c>
      <c r="C1221" s="126">
        <v>2827.5</v>
      </c>
      <c r="D1221" s="126"/>
      <c r="E1221" s="126"/>
      <c r="F1221" s="126"/>
      <c r="G1221" s="126"/>
      <c r="H1221" s="126">
        <v>9</v>
      </c>
      <c r="I1221" s="126"/>
      <c r="J1221" s="54" t="s">
        <v>625</v>
      </c>
      <c r="K1221" s="54"/>
      <c r="L1221" s="105">
        <f>SUM(L1178,K1221)</f>
        <v>1500</v>
      </c>
    </row>
    <row r="1222" spans="1:12">
      <c r="A1222" s="342"/>
      <c r="B1222" s="342" t="s">
        <v>2123</v>
      </c>
      <c r="C1222" s="126">
        <v>2428.5</v>
      </c>
      <c r="D1222" s="126"/>
      <c r="E1222" s="126"/>
      <c r="F1222" s="126"/>
      <c r="G1222" s="126"/>
      <c r="H1222" s="126">
        <v>8</v>
      </c>
      <c r="I1222" s="126"/>
      <c r="J1222" s="54" t="s">
        <v>627</v>
      </c>
      <c r="K1222" s="54">
        <f>SUM(C1239)</f>
        <v>760</v>
      </c>
      <c r="L1222" s="105">
        <f>SUM(L1179,K1222)</f>
        <v>3800</v>
      </c>
    </row>
    <row r="1223" spans="1:12">
      <c r="A1223" s="101">
        <v>46154</v>
      </c>
      <c r="B1223" s="342" t="s">
        <v>2124</v>
      </c>
      <c r="C1223" s="126">
        <v>714</v>
      </c>
      <c r="D1223" s="126"/>
      <c r="E1223" s="126"/>
      <c r="F1223" s="126"/>
      <c r="G1223" s="126"/>
      <c r="H1223" s="126">
        <v>7</v>
      </c>
      <c r="I1223" s="126"/>
      <c r="J1223" s="54" t="s">
        <v>629</v>
      </c>
      <c r="K1223" s="54"/>
      <c r="L1223" s="105"/>
    </row>
    <row r="1224" spans="1:12">
      <c r="A1224" s="101">
        <v>46156</v>
      </c>
      <c r="B1224" s="342" t="s">
        <v>2125</v>
      </c>
      <c r="C1224" s="126">
        <v>700</v>
      </c>
      <c r="D1224" s="126"/>
      <c r="E1224" s="126"/>
      <c r="F1224" s="126"/>
      <c r="G1224" s="126"/>
      <c r="H1224" s="126">
        <v>9</v>
      </c>
      <c r="I1224" s="126"/>
      <c r="J1224" s="54" t="s">
        <v>631</v>
      </c>
      <c r="K1224" s="54">
        <f>SUM(C1215,D1215,C1223)</f>
        <v>15284.140000000001</v>
      </c>
      <c r="L1224" s="105">
        <f>SUM(L1181,K1224)</f>
        <v>65210.240000000005</v>
      </c>
    </row>
    <row r="1225" spans="1:12">
      <c r="A1225" s="342"/>
      <c r="B1225" s="342" t="s">
        <v>1434</v>
      </c>
      <c r="C1225" s="126"/>
      <c r="D1225" s="126">
        <v>3745</v>
      </c>
      <c r="E1225" s="126"/>
      <c r="F1225" s="126"/>
      <c r="G1225" s="126"/>
      <c r="H1225" s="126">
        <v>10</v>
      </c>
      <c r="I1225" s="126"/>
      <c r="J1225" s="54" t="s">
        <v>634</v>
      </c>
      <c r="K1225" s="54">
        <f>SUM(C1209,C1210,C1211,C1212,C1214,C1217,C1219,C1220,C1222,E1229,E1230,E1232,E1233,E1235,E1236,E1238,C1240,E1242,C1243,C1244,D1245,D1246,E1249,E1250,E1251,C1252,C1253)</f>
        <v>72148.25</v>
      </c>
      <c r="L1225" s="105">
        <f>SUM(L1182,K1225)</f>
        <v>160227.72</v>
      </c>
    </row>
    <row r="1226" spans="1:12">
      <c r="A1226" s="342"/>
      <c r="B1226" s="342" t="s">
        <v>1867</v>
      </c>
      <c r="C1226" s="126">
        <v>518.5</v>
      </c>
      <c r="D1226" s="126"/>
      <c r="E1226" s="126"/>
      <c r="F1226" s="126"/>
      <c r="G1226" s="126"/>
      <c r="H1226" s="126">
        <v>10</v>
      </c>
      <c r="I1226" s="126"/>
      <c r="J1226" s="54" t="s">
        <v>636</v>
      </c>
      <c r="K1226" s="63">
        <f>SUM(C1216,C1221,C1224,C1227,C1231,C1237,D1248,C1247)</f>
        <v>13220.75</v>
      </c>
      <c r="L1226" s="105">
        <f>SUM(L1183,K1226)</f>
        <v>16620.75</v>
      </c>
    </row>
    <row r="1227" spans="1:12">
      <c r="A1227" s="342"/>
      <c r="B1227" s="342" t="s">
        <v>2126</v>
      </c>
      <c r="C1227" s="126">
        <v>1000</v>
      </c>
      <c r="D1227" s="126"/>
      <c r="E1227" s="126"/>
      <c r="F1227" s="126"/>
      <c r="G1227" s="126"/>
      <c r="H1227" s="126">
        <v>9</v>
      </c>
      <c r="I1227" s="126"/>
      <c r="J1227" s="54" t="s">
        <v>638</v>
      </c>
      <c r="K1227" s="54">
        <f>SUM(D1207,D1208,D1213,G1218,D1225,C1226,D1228,G1234,G1241)</f>
        <v>85394.34</v>
      </c>
      <c r="L1227" s="105">
        <f>SUM(L1184,K1227)</f>
        <v>485104.11</v>
      </c>
    </row>
    <row r="1228" spans="1:12">
      <c r="A1228" s="101">
        <v>46158</v>
      </c>
      <c r="B1228" s="342" t="s">
        <v>2127</v>
      </c>
      <c r="C1228" s="126"/>
      <c r="D1228" s="126">
        <v>2849.25</v>
      </c>
      <c r="E1228" s="126"/>
      <c r="F1228" s="126"/>
      <c r="G1228" s="126"/>
      <c r="H1228" s="126">
        <v>10</v>
      </c>
      <c r="I1228" s="126"/>
      <c r="J1228" s="126"/>
      <c r="K1228" s="344">
        <f>SUM(K1215:K1227)</f>
        <v>209807.47999999998</v>
      </c>
      <c r="L1228" s="165">
        <f>SUM(L1215:L1227)</f>
        <v>886686.82</v>
      </c>
    </row>
    <row r="1229" spans="1:12">
      <c r="A1229" s="342"/>
      <c r="B1229" s="342" t="s">
        <v>2128</v>
      </c>
      <c r="C1229" s="126"/>
      <c r="D1229" s="126"/>
      <c r="E1229" s="126">
        <v>6353</v>
      </c>
      <c r="F1229" s="126"/>
      <c r="G1229" s="126"/>
      <c r="H1229" s="126">
        <v>8</v>
      </c>
      <c r="I1229" s="126"/>
      <c r="J1229" s="126"/>
      <c r="K1229" s="387"/>
      <c r="L1229" s="165">
        <f>SUM(L1185,K1228)</f>
        <v>886686.82000000007</v>
      </c>
    </row>
    <row r="1230" spans="1:12">
      <c r="A1230" s="342"/>
      <c r="B1230" s="342" t="s">
        <v>2129</v>
      </c>
      <c r="C1230" s="126"/>
      <c r="D1230" s="126"/>
      <c r="E1230" s="126">
        <v>510</v>
      </c>
      <c r="F1230" s="126"/>
      <c r="G1230" s="126"/>
      <c r="H1230" s="126">
        <v>8</v>
      </c>
      <c r="I1230" s="126"/>
      <c r="J1230" s="126"/>
      <c r="K1230" s="352"/>
    </row>
    <row r="1231" spans="1:12">
      <c r="B1231" s="342" t="s">
        <v>2130</v>
      </c>
      <c r="C1231" s="126">
        <v>2810</v>
      </c>
      <c r="D1231" s="126"/>
      <c r="E1231" s="126"/>
      <c r="F1231" s="126"/>
      <c r="G1231" s="126"/>
      <c r="H1231" s="126">
        <v>9</v>
      </c>
      <c r="I1231" s="126"/>
      <c r="J1231" s="126"/>
      <c r="K1231" s="352"/>
    </row>
    <row r="1232" spans="1:12">
      <c r="B1232" s="342" t="s">
        <v>2131</v>
      </c>
      <c r="C1232" s="126"/>
      <c r="D1232" s="126"/>
      <c r="E1232" s="126">
        <v>4200</v>
      </c>
      <c r="F1232" s="126"/>
      <c r="G1232" s="126"/>
      <c r="H1232" s="126">
        <v>8</v>
      </c>
      <c r="I1232" s="126"/>
      <c r="J1232" s="126"/>
      <c r="K1232" s="352"/>
    </row>
    <row r="1233" spans="1:11">
      <c r="B1233" s="342" t="s">
        <v>2132</v>
      </c>
      <c r="C1233" s="126"/>
      <c r="D1233" s="126"/>
      <c r="E1233" s="126">
        <v>4200</v>
      </c>
      <c r="F1233" s="126"/>
      <c r="G1233" s="126"/>
      <c r="H1233" s="126">
        <v>8</v>
      </c>
      <c r="I1233" s="126"/>
      <c r="J1233" s="126"/>
      <c r="K1233" s="352"/>
    </row>
    <row r="1234" spans="1:11">
      <c r="A1234" s="101">
        <v>46159</v>
      </c>
      <c r="B1234" s="342" t="s">
        <v>2119</v>
      </c>
      <c r="D1234" s="126"/>
      <c r="E1234" s="126"/>
      <c r="F1234" s="126"/>
      <c r="G1234" s="126">
        <v>30000</v>
      </c>
      <c r="H1234" s="126">
        <v>10</v>
      </c>
      <c r="I1234" s="126"/>
      <c r="J1234" s="126"/>
      <c r="K1234" s="352"/>
    </row>
    <row r="1235" spans="1:11">
      <c r="A1235" s="101">
        <v>46165</v>
      </c>
      <c r="B1235" s="342" t="s">
        <v>2133</v>
      </c>
      <c r="C1235" s="126"/>
      <c r="D1235" s="126"/>
      <c r="E1235" s="126">
        <v>2100</v>
      </c>
      <c r="F1235" s="126"/>
      <c r="G1235" s="126"/>
      <c r="H1235" s="126">
        <v>8</v>
      </c>
      <c r="I1235" s="126"/>
      <c r="J1235" s="126"/>
      <c r="K1235" s="352"/>
    </row>
    <row r="1236" spans="1:11">
      <c r="A1236" s="342"/>
      <c r="B1236" s="342" t="s">
        <v>2134</v>
      </c>
      <c r="C1236" s="126"/>
      <c r="D1236" s="126"/>
      <c r="E1236" s="126">
        <v>2100</v>
      </c>
      <c r="F1236" s="126"/>
      <c r="G1236" s="126"/>
      <c r="H1236" s="126">
        <v>8</v>
      </c>
      <c r="I1236" s="126"/>
      <c r="J1236" s="126"/>
      <c r="K1236" s="352"/>
    </row>
    <row r="1237" spans="1:11">
      <c r="A1237" s="101">
        <v>46166</v>
      </c>
      <c r="B1237" s="342" t="s">
        <v>2135</v>
      </c>
      <c r="C1237" s="126">
        <v>2623</v>
      </c>
      <c r="D1237" s="126"/>
      <c r="E1237" s="126"/>
      <c r="F1237" s="126"/>
      <c r="G1237" s="126"/>
      <c r="H1237" s="126">
        <v>9</v>
      </c>
      <c r="I1237" s="126"/>
      <c r="J1237" s="126"/>
      <c r="K1237" s="352"/>
    </row>
    <row r="1238" spans="1:11">
      <c r="A1238" s="101">
        <v>46167</v>
      </c>
      <c r="B1238" s="342" t="s">
        <v>2136</v>
      </c>
      <c r="C1238" s="126"/>
      <c r="D1238" s="126"/>
      <c r="E1238" s="126">
        <v>2409.5</v>
      </c>
      <c r="F1238" s="126"/>
      <c r="G1238" s="126"/>
      <c r="H1238" s="126">
        <v>8</v>
      </c>
      <c r="I1238" s="126"/>
      <c r="J1238" s="126"/>
      <c r="K1238" s="352"/>
    </row>
    <row r="1239" spans="1:11">
      <c r="A1239" s="342"/>
      <c r="B1239" s="342" t="s">
        <v>2137</v>
      </c>
      <c r="C1239" s="126">
        <v>760</v>
      </c>
      <c r="D1239" s="126"/>
      <c r="E1239" s="126"/>
      <c r="F1239" s="126"/>
      <c r="G1239" s="126"/>
      <c r="H1239" s="126" t="s">
        <v>648</v>
      </c>
      <c r="I1239" s="126"/>
      <c r="J1239" s="126"/>
      <c r="K1239" s="352"/>
    </row>
    <row r="1240" spans="1:11">
      <c r="A1240" s="101">
        <v>46168</v>
      </c>
      <c r="B1240" s="342" t="s">
        <v>2138</v>
      </c>
      <c r="C1240" s="126">
        <v>8500</v>
      </c>
      <c r="D1240" s="126"/>
      <c r="E1240" s="126"/>
      <c r="F1240" s="126"/>
      <c r="G1240" s="126"/>
      <c r="H1240" s="126">
        <v>8</v>
      </c>
      <c r="I1240" s="126"/>
      <c r="J1240" s="126"/>
      <c r="K1240" s="352"/>
    </row>
    <row r="1241" spans="1:11">
      <c r="A1241" s="342"/>
      <c r="B1241" s="342" t="s">
        <v>2139</v>
      </c>
      <c r="C1241" s="126"/>
      <c r="D1241" s="126"/>
      <c r="E1241" s="126"/>
      <c r="F1241" s="126"/>
      <c r="G1241" s="126">
        <v>12000</v>
      </c>
      <c r="H1241" s="126">
        <v>10</v>
      </c>
      <c r="I1241" s="126"/>
      <c r="J1241" s="126"/>
      <c r="K1241" s="352"/>
    </row>
    <row r="1242" spans="1:11">
      <c r="A1242" s="342"/>
      <c r="B1242" s="342" t="s">
        <v>1990</v>
      </c>
      <c r="C1242" s="126"/>
      <c r="D1242" s="126"/>
      <c r="E1242" s="126">
        <v>1496.5</v>
      </c>
      <c r="F1242" s="126"/>
      <c r="G1242" s="126"/>
      <c r="H1242" s="126">
        <v>8</v>
      </c>
      <c r="I1242" s="126"/>
      <c r="J1242" s="126"/>
      <c r="K1242" s="352"/>
    </row>
    <row r="1243" spans="1:11">
      <c r="A1243" s="101">
        <v>46169</v>
      </c>
      <c r="B1243" s="342" t="s">
        <v>2140</v>
      </c>
      <c r="C1243" s="126">
        <v>6000</v>
      </c>
      <c r="D1243" s="126"/>
      <c r="E1243" s="126"/>
      <c r="F1243" s="126"/>
      <c r="G1243" s="126"/>
      <c r="H1243" s="126">
        <v>8</v>
      </c>
      <c r="I1243" s="126"/>
      <c r="J1243" s="126"/>
      <c r="K1243" s="352"/>
    </row>
    <row r="1244" spans="1:11">
      <c r="A1244" s="342"/>
      <c r="B1244" s="342" t="s">
        <v>2141</v>
      </c>
      <c r="C1244" s="126">
        <v>860</v>
      </c>
      <c r="D1244" s="126"/>
      <c r="E1244" s="126"/>
      <c r="F1244" s="126"/>
      <c r="G1244" s="126"/>
      <c r="H1244" s="126">
        <v>8</v>
      </c>
      <c r="I1244" s="126"/>
      <c r="J1244" s="126"/>
      <c r="K1244" s="352"/>
    </row>
    <row r="1245" spans="1:11">
      <c r="A1245" s="101">
        <v>46170</v>
      </c>
      <c r="B1245" s="342" t="s">
        <v>2142</v>
      </c>
      <c r="C1245" s="126"/>
      <c r="D1245" s="126">
        <v>700</v>
      </c>
      <c r="E1245" s="126"/>
      <c r="F1245" s="126"/>
      <c r="G1245" s="126"/>
      <c r="H1245" s="126">
        <v>8</v>
      </c>
      <c r="I1245" s="126"/>
      <c r="J1245" s="126"/>
      <c r="K1245" s="352"/>
    </row>
    <row r="1246" spans="1:11">
      <c r="A1246" s="342"/>
      <c r="B1246" s="342" t="s">
        <v>2143</v>
      </c>
      <c r="C1246" s="126"/>
      <c r="D1246" s="126">
        <v>700</v>
      </c>
      <c r="E1246" s="126"/>
      <c r="F1246" s="126"/>
      <c r="G1246" s="126"/>
      <c r="H1246" s="126">
        <v>8</v>
      </c>
      <c r="I1246" s="126"/>
      <c r="J1246" s="126"/>
      <c r="K1246" s="352"/>
    </row>
    <row r="1247" spans="1:11">
      <c r="A1247" s="342"/>
      <c r="B1247" s="342" t="s">
        <v>2144</v>
      </c>
      <c r="C1247" s="126">
        <v>1500</v>
      </c>
      <c r="D1247" s="126"/>
      <c r="E1247" s="126"/>
      <c r="F1247" s="126"/>
      <c r="G1247" s="126"/>
      <c r="H1247" s="126">
        <v>9</v>
      </c>
      <c r="I1247" s="126"/>
      <c r="J1247" s="126"/>
      <c r="K1247" s="352"/>
    </row>
    <row r="1248" spans="1:11">
      <c r="A1248" s="342"/>
      <c r="B1248" s="342" t="s">
        <v>2145</v>
      </c>
      <c r="C1248" s="126"/>
      <c r="D1248" s="126">
        <v>760.25</v>
      </c>
      <c r="E1248" s="126"/>
      <c r="F1248" s="126"/>
      <c r="G1248" s="126"/>
      <c r="H1248" s="126">
        <v>9</v>
      </c>
      <c r="I1248" s="126"/>
      <c r="J1248" s="126"/>
      <c r="K1248" s="352"/>
    </row>
    <row r="1249" spans="1:12">
      <c r="A1249" s="101">
        <v>46171</v>
      </c>
      <c r="B1249" s="342" t="s">
        <v>2146</v>
      </c>
      <c r="C1249" s="126"/>
      <c r="D1249" s="126"/>
      <c r="E1249" s="126">
        <v>685</v>
      </c>
      <c r="F1249" s="126"/>
      <c r="G1249" s="126"/>
      <c r="H1249" s="126">
        <v>8</v>
      </c>
      <c r="I1249" s="126"/>
      <c r="J1249" s="126"/>
      <c r="K1249" s="352"/>
    </row>
    <row r="1250" spans="1:12">
      <c r="A1250" s="101">
        <v>46172</v>
      </c>
      <c r="B1250" s="342" t="s">
        <v>2147</v>
      </c>
      <c r="C1250" s="126"/>
      <c r="D1250" s="126"/>
      <c r="E1250" s="126">
        <v>4200</v>
      </c>
      <c r="F1250" s="126"/>
      <c r="G1250" s="126"/>
      <c r="H1250" s="126">
        <v>8</v>
      </c>
      <c r="I1250" s="126"/>
      <c r="J1250" s="126"/>
      <c r="K1250" s="352"/>
    </row>
    <row r="1251" spans="1:12">
      <c r="A1251" s="342"/>
      <c r="B1251" s="342" t="s">
        <v>2148</v>
      </c>
      <c r="C1251" s="126"/>
      <c r="D1251" s="126"/>
      <c r="E1251" s="126">
        <v>4200</v>
      </c>
      <c r="F1251" s="126"/>
      <c r="G1251" s="126"/>
      <c r="H1251" s="126">
        <v>8</v>
      </c>
      <c r="I1251" s="126"/>
      <c r="J1251" s="126"/>
      <c r="K1251" s="352"/>
    </row>
    <row r="1252" spans="1:12">
      <c r="A1252" s="342"/>
      <c r="B1252" s="342" t="s">
        <v>2149</v>
      </c>
      <c r="C1252" s="126">
        <v>352</v>
      </c>
      <c r="D1252" s="126"/>
      <c r="E1252" s="126"/>
      <c r="F1252" s="126"/>
      <c r="G1252" s="126"/>
      <c r="H1252" s="126">
        <v>8</v>
      </c>
      <c r="I1252" s="126"/>
      <c r="J1252" s="126"/>
      <c r="K1252" s="352"/>
    </row>
    <row r="1253" spans="1:12">
      <c r="A1253" s="342"/>
      <c r="B1253" s="342" t="s">
        <v>2149</v>
      </c>
      <c r="C1253" s="126">
        <v>778</v>
      </c>
      <c r="D1253" s="126"/>
      <c r="E1253" s="126"/>
      <c r="F1253" s="126"/>
      <c r="G1253" s="126"/>
      <c r="H1253" s="126">
        <v>8</v>
      </c>
      <c r="I1253" s="126"/>
      <c r="J1253" s="126"/>
      <c r="K1253" s="352"/>
    </row>
    <row r="1254" spans="1:12">
      <c r="A1254" s="101">
        <v>46173</v>
      </c>
      <c r="B1254" s="342" t="s">
        <v>2150</v>
      </c>
      <c r="C1254" s="17">
        <v>10000</v>
      </c>
      <c r="D1254" s="23">
        <v>6500</v>
      </c>
      <c r="E1254" s="126"/>
      <c r="F1254" s="126"/>
      <c r="G1254" s="126"/>
      <c r="H1254" s="126">
        <v>6</v>
      </c>
      <c r="I1254" s="126"/>
      <c r="J1254" s="126"/>
      <c r="K1254" s="352"/>
    </row>
    <row r="1255" spans="1:12">
      <c r="A1255" s="342"/>
      <c r="B1255" s="342" t="s">
        <v>749</v>
      </c>
      <c r="C1255" s="126">
        <v>6500</v>
      </c>
      <c r="E1255" s="126"/>
      <c r="F1255" s="126"/>
      <c r="G1255" s="126"/>
      <c r="H1255" s="126">
        <v>3</v>
      </c>
      <c r="I1255" s="126"/>
      <c r="J1255" s="126"/>
      <c r="K1255" s="352"/>
    </row>
    <row r="1256" spans="1:12">
      <c r="A1256" s="390" t="s">
        <v>1155</v>
      </c>
      <c r="B1256" s="390" t="s">
        <v>960</v>
      </c>
      <c r="C1256" s="379">
        <f>SUM(C1207:C1255)</f>
        <v>81184.28</v>
      </c>
      <c r="D1256" s="379">
        <f>SUM(D1207:D1255)</f>
        <v>24169.200000000001</v>
      </c>
      <c r="E1256" s="379">
        <f>SUM(E1207:E1255)</f>
        <v>32454</v>
      </c>
      <c r="F1256" s="379"/>
      <c r="G1256" s="379">
        <f>SUM(G1207:G1255)</f>
        <v>72000</v>
      </c>
      <c r="H1256" s="379"/>
      <c r="I1256" s="379">
        <f>SUM(C1256:G1256)</f>
        <v>209807.47999999998</v>
      </c>
      <c r="J1256" s="351"/>
      <c r="K1256" s="352"/>
    </row>
    <row r="1257" spans="1:12">
      <c r="A1257" s="356" t="s">
        <v>760</v>
      </c>
      <c r="C1257" s="126"/>
      <c r="D1257" s="126"/>
      <c r="E1257" s="126"/>
      <c r="F1257" s="126"/>
      <c r="G1257" s="126"/>
      <c r="H1257" s="126"/>
      <c r="I1257" s="126"/>
      <c r="J1257" s="126"/>
      <c r="K1257" s="352"/>
    </row>
    <row r="1258" spans="1:12">
      <c r="A1258" s="101">
        <v>46174</v>
      </c>
      <c r="B1258" s="342" t="s">
        <v>1488</v>
      </c>
      <c r="C1258" s="126">
        <v>1500</v>
      </c>
      <c r="D1258" s="126"/>
      <c r="E1258" s="126"/>
      <c r="F1258" s="126"/>
      <c r="G1258" s="126"/>
      <c r="H1258" s="126">
        <v>9</v>
      </c>
      <c r="I1258" s="126"/>
      <c r="J1258" s="126"/>
      <c r="K1258" s="352"/>
    </row>
    <row r="1259" spans="1:12">
      <c r="A1259" s="101">
        <v>46175</v>
      </c>
      <c r="B1259" s="342" t="s">
        <v>2182</v>
      </c>
      <c r="C1259" s="126">
        <v>3935</v>
      </c>
      <c r="D1259" s="126"/>
      <c r="E1259" s="126"/>
      <c r="F1259" s="126"/>
      <c r="G1259" s="126"/>
      <c r="H1259" s="126">
        <v>8</v>
      </c>
      <c r="I1259" s="126"/>
      <c r="J1259" s="126"/>
      <c r="K1259" s="352"/>
    </row>
    <row r="1260" spans="1:12">
      <c r="A1260" s="101">
        <v>46177</v>
      </c>
      <c r="B1260" s="342" t="s">
        <v>2183</v>
      </c>
      <c r="C1260" s="126">
        <v>14964.13</v>
      </c>
      <c r="D1260" s="126">
        <v>5688.67</v>
      </c>
      <c r="E1260" s="126"/>
      <c r="F1260" s="126"/>
      <c r="G1260" s="126"/>
      <c r="H1260" s="126">
        <v>7</v>
      </c>
      <c r="I1260" s="126"/>
      <c r="J1260" s="126"/>
      <c r="K1260" s="352"/>
    </row>
    <row r="1261" spans="1:12">
      <c r="A1261" s="101">
        <v>46179</v>
      </c>
      <c r="B1261" s="342" t="s">
        <v>2184</v>
      </c>
      <c r="C1261" s="126"/>
      <c r="D1261" s="126"/>
      <c r="E1261" s="126">
        <v>3500</v>
      </c>
      <c r="F1261" s="126"/>
      <c r="G1261" s="126"/>
      <c r="H1261" s="126">
        <v>8</v>
      </c>
      <c r="I1261" s="126"/>
      <c r="J1261" s="126"/>
      <c r="K1261" s="352"/>
    </row>
    <row r="1262" spans="1:12">
      <c r="A1262" s="342"/>
      <c r="B1262" s="342" t="s">
        <v>2185</v>
      </c>
      <c r="C1262" s="126"/>
      <c r="D1262" s="126"/>
      <c r="E1262" s="126">
        <v>3500</v>
      </c>
      <c r="F1262" s="126"/>
      <c r="G1262" s="126"/>
      <c r="H1262" s="126">
        <v>8</v>
      </c>
      <c r="I1262" s="126"/>
      <c r="J1262" s="349" t="s">
        <v>760</v>
      </c>
      <c r="K1262" s="54" t="s">
        <v>661</v>
      </c>
    </row>
    <row r="1263" spans="1:12">
      <c r="A1263" s="101">
        <v>46181</v>
      </c>
      <c r="B1263" s="342" t="s">
        <v>2186</v>
      </c>
      <c r="C1263" s="126">
        <v>714</v>
      </c>
      <c r="D1263" s="126"/>
      <c r="E1263" s="126"/>
      <c r="F1263" s="126"/>
      <c r="G1263" s="126"/>
      <c r="H1263" s="126">
        <v>7</v>
      </c>
      <c r="I1263" s="126"/>
      <c r="J1263" s="53" t="s">
        <v>613</v>
      </c>
      <c r="K1263" s="54"/>
      <c r="L1263" s="71">
        <f t="shared" ref="L1263:L1270" si="15">SUM(L1215,K1263)</f>
        <v>0</v>
      </c>
    </row>
    <row r="1264" spans="1:12">
      <c r="A1264" s="342"/>
      <c r="B1264" s="342" t="s">
        <v>2187</v>
      </c>
      <c r="C1264" s="126">
        <v>700</v>
      </c>
      <c r="D1264" s="126"/>
      <c r="E1264" s="126"/>
      <c r="F1264" s="126"/>
      <c r="G1264" s="126"/>
      <c r="H1264" s="126">
        <v>8</v>
      </c>
      <c r="I1264" s="126"/>
      <c r="J1264" s="55" t="s">
        <v>615</v>
      </c>
      <c r="K1264" s="54"/>
      <c r="L1264" s="105">
        <f t="shared" si="15"/>
        <v>28924</v>
      </c>
    </row>
    <row r="1265" spans="1:12">
      <c r="A1265" s="101">
        <v>46183</v>
      </c>
      <c r="B1265" s="342" t="s">
        <v>2188</v>
      </c>
      <c r="C1265" s="126">
        <v>895</v>
      </c>
      <c r="D1265" s="126"/>
      <c r="E1265" s="126"/>
      <c r="F1265" s="126"/>
      <c r="G1265" s="126"/>
      <c r="H1265" s="126">
        <v>8</v>
      </c>
      <c r="I1265" s="126"/>
      <c r="J1265" s="56" t="s">
        <v>617</v>
      </c>
      <c r="K1265" s="54">
        <f>SUM(C1307)</f>
        <v>6500</v>
      </c>
      <c r="L1265" s="105">
        <f t="shared" si="15"/>
        <v>45500</v>
      </c>
    </row>
    <row r="1266" spans="1:12">
      <c r="A1266" s="342"/>
      <c r="B1266" s="342" t="s">
        <v>2189</v>
      </c>
      <c r="C1266" s="126">
        <v>1500</v>
      </c>
      <c r="D1266" s="126"/>
      <c r="E1266" s="126"/>
      <c r="F1266" s="126"/>
      <c r="G1266" s="126"/>
      <c r="H1266" s="126" t="s">
        <v>680</v>
      </c>
      <c r="I1266" s="126"/>
      <c r="J1266" s="57" t="s">
        <v>619</v>
      </c>
      <c r="K1266" s="54"/>
      <c r="L1266" s="105">
        <f t="shared" si="15"/>
        <v>0</v>
      </c>
    </row>
    <row r="1267" spans="1:12">
      <c r="A1267" s="342"/>
      <c r="B1267" s="342" t="s">
        <v>2190</v>
      </c>
      <c r="C1267" s="126">
        <v>1500</v>
      </c>
      <c r="D1267" s="126"/>
      <c r="E1267" s="126"/>
      <c r="F1267" s="126"/>
      <c r="G1267" s="126"/>
      <c r="H1267" s="126">
        <v>8</v>
      </c>
      <c r="I1267" s="126"/>
      <c r="J1267" s="58" t="s">
        <v>621</v>
      </c>
      <c r="K1267" s="54"/>
      <c r="L1267" s="105">
        <f t="shared" si="15"/>
        <v>300</v>
      </c>
    </row>
    <row r="1268" spans="1:12">
      <c r="A1268" s="101">
        <v>46184</v>
      </c>
      <c r="B1268" s="342" t="s">
        <v>1690</v>
      </c>
      <c r="C1268" s="126">
        <v>5321.5</v>
      </c>
      <c r="D1268" s="126"/>
      <c r="E1268" s="126"/>
      <c r="F1268" s="126"/>
      <c r="G1268" s="126"/>
      <c r="H1268" s="126">
        <v>8</v>
      </c>
      <c r="I1268" s="126"/>
      <c r="J1268" s="54" t="s">
        <v>623</v>
      </c>
      <c r="K1268" s="54">
        <f>SUM(C1306,D1306)</f>
        <v>16500</v>
      </c>
      <c r="L1268" s="105">
        <f t="shared" si="15"/>
        <v>102500</v>
      </c>
    </row>
    <row r="1269" spans="1:12">
      <c r="A1269" s="342"/>
      <c r="B1269" s="342" t="s">
        <v>2127</v>
      </c>
      <c r="C1269" s="126"/>
      <c r="D1269" s="126">
        <v>2773.5</v>
      </c>
      <c r="E1269" s="126"/>
      <c r="F1269" s="126"/>
      <c r="G1269" s="126"/>
      <c r="H1269" s="126">
        <v>10</v>
      </c>
      <c r="I1269" s="126"/>
      <c r="J1269" s="54" t="s">
        <v>625</v>
      </c>
      <c r="K1269" s="54">
        <f>SUM(C1266)</f>
        <v>1500</v>
      </c>
      <c r="L1269" s="105">
        <f t="shared" si="15"/>
        <v>3000</v>
      </c>
    </row>
    <row r="1270" spans="1:12">
      <c r="A1270" s="101">
        <v>46185</v>
      </c>
      <c r="B1270" s="342" t="s">
        <v>2191</v>
      </c>
      <c r="C1270" s="126">
        <v>4300</v>
      </c>
      <c r="D1270" s="126"/>
      <c r="E1270" s="126"/>
      <c r="F1270" s="126"/>
      <c r="G1270" s="126"/>
      <c r="H1270" s="126">
        <v>8</v>
      </c>
      <c r="I1270" s="126"/>
      <c r="J1270" s="54" t="s">
        <v>627</v>
      </c>
      <c r="K1270" s="54">
        <f>SUM(C1292)</f>
        <v>760</v>
      </c>
      <c r="L1270" s="105">
        <f t="shared" si="15"/>
        <v>4560</v>
      </c>
    </row>
    <row r="1271" spans="1:12">
      <c r="A1271" s="101">
        <v>46186</v>
      </c>
      <c r="B1271" s="342" t="s">
        <v>2192</v>
      </c>
      <c r="C1271" s="126">
        <v>625</v>
      </c>
      <c r="D1271" s="126"/>
      <c r="E1271" s="126"/>
      <c r="F1271" s="126"/>
      <c r="G1271" s="126"/>
      <c r="H1271" s="126">
        <v>8</v>
      </c>
      <c r="I1271" s="126"/>
      <c r="J1271" s="54" t="s">
        <v>629</v>
      </c>
      <c r="K1271" s="54"/>
      <c r="L1271" s="105"/>
    </row>
    <row r="1272" spans="1:12">
      <c r="A1272" s="342"/>
      <c r="B1272" s="342" t="s">
        <v>2193</v>
      </c>
      <c r="C1272" s="126">
        <v>3500</v>
      </c>
      <c r="D1272" s="126"/>
      <c r="E1272" s="126"/>
      <c r="F1272" s="126"/>
      <c r="G1272" s="126"/>
      <c r="H1272" s="126">
        <v>8</v>
      </c>
      <c r="I1272" s="126"/>
      <c r="J1272" s="54" t="s">
        <v>631</v>
      </c>
      <c r="K1272" s="54">
        <f>SUM(C1260,D1260,C1263,C1282)</f>
        <v>22086.799999999999</v>
      </c>
      <c r="L1272" s="105">
        <f>SUM(L1224,K1272)</f>
        <v>87297.040000000008</v>
      </c>
    </row>
    <row r="1273" spans="1:12">
      <c r="A1273" s="342"/>
      <c r="B1273" s="342" t="s">
        <v>2194</v>
      </c>
      <c r="C1273" s="126">
        <v>3500</v>
      </c>
      <c r="D1273" s="126"/>
      <c r="E1273" s="126"/>
      <c r="F1273" s="126"/>
      <c r="G1273" s="126"/>
      <c r="H1273" s="126">
        <v>8</v>
      </c>
      <c r="I1273" s="126"/>
      <c r="J1273" s="54" t="s">
        <v>634</v>
      </c>
      <c r="K1273" s="54">
        <f>SUM(C1259,E1261,E1262,C1264,C1265,C1267,C1268,C1270,C1271,C1272:C1275,C1277,C1278,C1283,C1286,C1287,C1288,C1291,C1294:C1295,C1297:C1299,E1301,E1302,C1303:C1305)</f>
        <v>87996.5</v>
      </c>
      <c r="L1273" s="105">
        <f>SUM(L1225,K1273)</f>
        <v>248224.22</v>
      </c>
    </row>
    <row r="1274" spans="1:12">
      <c r="A1274" s="101">
        <v>46187</v>
      </c>
      <c r="B1274" s="342" t="s">
        <v>2195</v>
      </c>
      <c r="C1274" s="126">
        <v>1000</v>
      </c>
      <c r="D1274" s="126"/>
      <c r="E1274" s="126"/>
      <c r="F1274" s="126"/>
      <c r="G1274" s="126"/>
      <c r="H1274" s="126">
        <v>8</v>
      </c>
      <c r="I1274" s="126"/>
      <c r="J1274" s="54" t="s">
        <v>636</v>
      </c>
      <c r="K1274" s="63">
        <f>SUM(C1258,C1290)</f>
        <v>3000</v>
      </c>
      <c r="L1274" s="105">
        <f>SUM(L1226,K1274)</f>
        <v>19620.75</v>
      </c>
    </row>
    <row r="1275" spans="1:12">
      <c r="A1275" s="342"/>
      <c r="B1275" s="342" t="s">
        <v>2196</v>
      </c>
      <c r="C1275" s="126">
        <v>1000</v>
      </c>
      <c r="H1275" s="126">
        <v>8</v>
      </c>
      <c r="J1275" s="54" t="s">
        <v>638</v>
      </c>
      <c r="K1275" s="54">
        <f>SUM(G1276,G1279,G1280,G1281,G1284,G1285,D1289,D1293,D1296,G1300,D1269)</f>
        <v>29203.22</v>
      </c>
      <c r="L1275" s="105">
        <f>SUM(L1227,K1275)</f>
        <v>514307.32999999996</v>
      </c>
    </row>
    <row r="1276" spans="1:12">
      <c r="A1276" s="342"/>
      <c r="B1276" s="342" t="s">
        <v>2197</v>
      </c>
      <c r="G1276" s="126">
        <v>580</v>
      </c>
      <c r="H1276" s="126">
        <v>10</v>
      </c>
      <c r="J1276" s="126"/>
      <c r="K1276" s="344">
        <f>SUM(K1263:K1275)</f>
        <v>167546.51999999999</v>
      </c>
      <c r="L1276" s="165">
        <f>SUM(L1263:L1275)</f>
        <v>1054233.3399999999</v>
      </c>
    </row>
    <row r="1277" spans="1:12">
      <c r="A1277" s="342"/>
      <c r="B1277" s="342" t="s">
        <v>1781</v>
      </c>
      <c r="C1277" s="126">
        <v>1005</v>
      </c>
      <c r="H1277" s="126">
        <v>8</v>
      </c>
      <c r="J1277" s="126"/>
      <c r="K1277" s="387"/>
      <c r="L1277" s="165">
        <f>SUM(L1229,K1276)</f>
        <v>1054233.3400000001</v>
      </c>
    </row>
    <row r="1278" spans="1:12">
      <c r="A1278" s="342"/>
      <c r="B1278" s="342" t="s">
        <v>1947</v>
      </c>
      <c r="C1278" s="126">
        <v>486</v>
      </c>
      <c r="H1278" s="126">
        <v>8</v>
      </c>
    </row>
    <row r="1279" spans="1:12">
      <c r="A1279" s="101">
        <v>46188</v>
      </c>
      <c r="B1279" s="342" t="s">
        <v>2198</v>
      </c>
      <c r="G1279" s="126">
        <v>380</v>
      </c>
      <c r="H1279" s="126">
        <v>10</v>
      </c>
    </row>
    <row r="1280" spans="1:12">
      <c r="A1280" s="342"/>
      <c r="B1280" s="342" t="s">
        <v>2199</v>
      </c>
      <c r="G1280" s="126">
        <v>369</v>
      </c>
      <c r="H1280" s="126">
        <v>10</v>
      </c>
    </row>
    <row r="1281" spans="1:10">
      <c r="B1281" s="342" t="s">
        <v>834</v>
      </c>
      <c r="G1281" s="126">
        <v>1728.3</v>
      </c>
      <c r="H1281" s="126">
        <v>10</v>
      </c>
    </row>
    <row r="1282" spans="1:10">
      <c r="B1282" s="342" t="s">
        <v>2200</v>
      </c>
      <c r="C1282" s="126">
        <v>720</v>
      </c>
      <c r="H1282" s="126">
        <v>7</v>
      </c>
    </row>
    <row r="1283" spans="1:10">
      <c r="A1283" s="101">
        <v>46189</v>
      </c>
      <c r="B1283" s="342" t="s">
        <v>1690</v>
      </c>
      <c r="C1283" s="126">
        <v>6408.75</v>
      </c>
      <c r="H1283" s="126">
        <v>8</v>
      </c>
    </row>
    <row r="1284" spans="1:10">
      <c r="A1284" s="101">
        <v>46190</v>
      </c>
      <c r="B1284" s="342" t="s">
        <v>2201</v>
      </c>
      <c r="G1284" s="126">
        <v>400</v>
      </c>
      <c r="H1284" s="126">
        <v>10</v>
      </c>
    </row>
    <row r="1285" spans="1:10">
      <c r="A1285" s="342"/>
      <c r="B1285" s="342" t="s">
        <v>1152</v>
      </c>
      <c r="G1285" s="126">
        <v>5260.42</v>
      </c>
      <c r="H1285" s="126">
        <v>10</v>
      </c>
    </row>
    <row r="1286" spans="1:10">
      <c r="A1286" s="101">
        <v>46191</v>
      </c>
      <c r="B1286" s="342" t="s">
        <v>1690</v>
      </c>
      <c r="C1286" s="126">
        <v>6408.75</v>
      </c>
      <c r="H1286" s="126">
        <v>8</v>
      </c>
    </row>
    <row r="1287" spans="1:10">
      <c r="A1287" s="101">
        <v>46193</v>
      </c>
      <c r="B1287" s="342" t="s">
        <v>2202</v>
      </c>
      <c r="C1287" s="126">
        <v>4200</v>
      </c>
      <c r="H1287" s="126">
        <v>8</v>
      </c>
    </row>
    <row r="1288" spans="1:10">
      <c r="A1288" s="342"/>
      <c r="B1288" s="342" t="s">
        <v>2203</v>
      </c>
      <c r="C1288" s="126">
        <v>4200</v>
      </c>
      <c r="H1288" s="126">
        <v>8</v>
      </c>
    </row>
    <row r="1289" spans="1:10">
      <c r="A1289" s="101">
        <v>46195</v>
      </c>
      <c r="B1289" s="342" t="s">
        <v>2204</v>
      </c>
      <c r="C1289" s="126"/>
      <c r="D1289" s="126">
        <v>4590</v>
      </c>
      <c r="E1289" s="126"/>
      <c r="F1289" s="126"/>
      <c r="G1289" s="126"/>
      <c r="H1289" s="126">
        <v>10</v>
      </c>
      <c r="I1289" s="126"/>
      <c r="J1289" s="126"/>
    </row>
    <row r="1290" spans="1:10">
      <c r="A1290" s="101">
        <v>46197</v>
      </c>
      <c r="B1290" s="342" t="s">
        <v>2205</v>
      </c>
      <c r="C1290" s="126">
        <v>1500</v>
      </c>
      <c r="D1290" s="126"/>
      <c r="E1290" s="126"/>
      <c r="F1290" s="126"/>
      <c r="G1290" s="126"/>
      <c r="H1290" s="126">
        <v>9</v>
      </c>
      <c r="I1290" s="126"/>
      <c r="J1290" s="126"/>
    </row>
    <row r="1291" spans="1:10">
      <c r="A1291" s="342"/>
      <c r="B1291" s="342" t="s">
        <v>1690</v>
      </c>
      <c r="C1291" s="126">
        <v>5111.5</v>
      </c>
      <c r="D1291" s="126"/>
      <c r="E1291" s="126"/>
      <c r="F1291" s="126"/>
      <c r="G1291" s="126"/>
      <c r="H1291" s="126">
        <v>8</v>
      </c>
      <c r="I1291" s="126"/>
      <c r="J1291" s="126"/>
    </row>
    <row r="1292" spans="1:10">
      <c r="A1292" s="342"/>
      <c r="B1292" s="342" t="s">
        <v>2206</v>
      </c>
      <c r="C1292" s="126">
        <v>760</v>
      </c>
      <c r="D1292" s="126"/>
      <c r="E1292" s="126"/>
      <c r="F1292" s="126"/>
      <c r="G1292" s="126"/>
      <c r="H1292" s="126" t="s">
        <v>648</v>
      </c>
      <c r="I1292" s="126"/>
      <c r="J1292" s="126"/>
    </row>
    <row r="1293" spans="1:10">
      <c r="A1293" s="101">
        <v>46198</v>
      </c>
      <c r="B1293" s="342" t="s">
        <v>2198</v>
      </c>
      <c r="C1293" s="126"/>
      <c r="D1293" s="126">
        <v>7</v>
      </c>
      <c r="E1293" s="126"/>
      <c r="F1293" s="126"/>
      <c r="G1293" s="126"/>
      <c r="H1293" s="126">
        <v>10</v>
      </c>
      <c r="I1293" s="126"/>
      <c r="J1293" s="126"/>
    </row>
    <row r="1294" spans="1:10">
      <c r="A1294" s="342"/>
      <c r="B1294" s="342" t="s">
        <v>2207</v>
      </c>
      <c r="C1294" s="126">
        <v>3500</v>
      </c>
      <c r="D1294" s="126"/>
      <c r="E1294" s="126"/>
      <c r="F1294" s="126"/>
      <c r="G1294" s="126"/>
      <c r="H1294" s="126">
        <v>8</v>
      </c>
      <c r="I1294" s="126"/>
      <c r="J1294" s="126"/>
    </row>
    <row r="1295" spans="1:10">
      <c r="A1295" s="342"/>
      <c r="B1295" s="342" t="s">
        <v>2208</v>
      </c>
      <c r="C1295" s="126">
        <v>4200</v>
      </c>
      <c r="D1295" s="126"/>
      <c r="E1295" s="126"/>
      <c r="F1295" s="126"/>
      <c r="G1295" s="126"/>
      <c r="H1295" s="126">
        <v>8</v>
      </c>
      <c r="I1295" s="126"/>
      <c r="J1295" s="126"/>
    </row>
    <row r="1296" spans="1:10">
      <c r="A1296" s="101">
        <v>46199</v>
      </c>
      <c r="B1296" s="342" t="s">
        <v>2209</v>
      </c>
      <c r="C1296" s="126"/>
      <c r="D1296" s="126">
        <v>168</v>
      </c>
      <c r="E1296" s="126"/>
      <c r="F1296" s="126"/>
      <c r="G1296" s="126"/>
      <c r="H1296" s="126">
        <v>10</v>
      </c>
      <c r="I1296" s="126"/>
      <c r="J1296" s="126"/>
    </row>
    <row r="1297" spans="1:10">
      <c r="A1297" s="101">
        <v>46200</v>
      </c>
      <c r="B1297" s="342" t="s">
        <v>2210</v>
      </c>
      <c r="C1297" s="126">
        <v>4200</v>
      </c>
      <c r="D1297" s="126"/>
      <c r="E1297" s="126"/>
      <c r="F1297" s="126"/>
      <c r="G1297" s="126"/>
      <c r="H1297" s="126">
        <v>8</v>
      </c>
      <c r="I1297" s="126"/>
      <c r="J1297" s="126"/>
    </row>
    <row r="1298" spans="1:10">
      <c r="A1298" s="342"/>
      <c r="B1298" s="342" t="s">
        <v>2211</v>
      </c>
      <c r="C1298" s="126">
        <v>4200</v>
      </c>
      <c r="D1298" s="126"/>
      <c r="E1298" s="126"/>
      <c r="F1298" s="126"/>
      <c r="G1298" s="126"/>
      <c r="H1298" s="126">
        <v>8</v>
      </c>
      <c r="I1298" s="126"/>
      <c r="J1298" s="126"/>
    </row>
    <row r="1299" spans="1:10">
      <c r="A1299" s="101">
        <v>46201</v>
      </c>
      <c r="B1299" s="342" t="s">
        <v>2205</v>
      </c>
      <c r="C1299" s="126">
        <v>1000</v>
      </c>
      <c r="D1299" s="126"/>
      <c r="E1299" s="126"/>
      <c r="F1299" s="126"/>
      <c r="G1299" s="126"/>
      <c r="H1299" s="126">
        <v>8</v>
      </c>
      <c r="I1299" s="126"/>
      <c r="J1299" s="126"/>
    </row>
    <row r="1300" spans="1:10">
      <c r="A1300" s="101">
        <v>46202</v>
      </c>
      <c r="B1300" s="342" t="s">
        <v>1152</v>
      </c>
      <c r="C1300" s="126"/>
      <c r="D1300" s="126"/>
      <c r="E1300" s="126"/>
      <c r="F1300" s="126"/>
      <c r="G1300" s="126">
        <v>12947</v>
      </c>
      <c r="H1300" s="126">
        <v>10</v>
      </c>
      <c r="I1300" s="126"/>
      <c r="J1300" s="126"/>
    </row>
    <row r="1301" spans="1:10">
      <c r="A1301" s="101">
        <v>46203</v>
      </c>
      <c r="B1301" s="342" t="s">
        <v>2212</v>
      </c>
      <c r="C1301" s="126"/>
      <c r="D1301" s="126"/>
      <c r="E1301" s="126">
        <v>350</v>
      </c>
      <c r="F1301" s="126"/>
      <c r="G1301" s="126"/>
      <c r="H1301" s="126">
        <v>8</v>
      </c>
      <c r="I1301" s="126"/>
      <c r="J1301" s="126"/>
    </row>
    <row r="1302" spans="1:10">
      <c r="A1302" s="342"/>
      <c r="B1302" s="342" t="s">
        <v>2213</v>
      </c>
      <c r="C1302" s="126"/>
      <c r="D1302" s="126"/>
      <c r="E1302" s="126">
        <v>150</v>
      </c>
      <c r="F1302" s="126"/>
      <c r="G1302" s="126"/>
      <c r="H1302" s="126">
        <v>8</v>
      </c>
      <c r="I1302" s="126"/>
      <c r="J1302" s="126"/>
    </row>
    <row r="1303" spans="1:10">
      <c r="B1303" s="342" t="s">
        <v>2214</v>
      </c>
      <c r="C1303" s="126">
        <v>1100</v>
      </c>
      <c r="D1303" s="126"/>
      <c r="E1303" s="126"/>
      <c r="F1303" s="126"/>
      <c r="G1303" s="126"/>
      <c r="H1303" s="126">
        <v>8</v>
      </c>
      <c r="I1303" s="126"/>
      <c r="J1303" s="126"/>
    </row>
    <row r="1304" spans="1:10">
      <c r="B1304" s="342" t="s">
        <v>2215</v>
      </c>
      <c r="C1304" s="126">
        <v>1700</v>
      </c>
      <c r="D1304" s="126"/>
      <c r="E1304" s="126"/>
      <c r="F1304" s="126"/>
      <c r="G1304" s="126"/>
      <c r="H1304" s="126">
        <v>8</v>
      </c>
      <c r="I1304" s="126"/>
      <c r="J1304" s="126"/>
    </row>
    <row r="1305" spans="1:10">
      <c r="B1305" s="342" t="s">
        <v>2216</v>
      </c>
      <c r="C1305" s="126">
        <v>6500</v>
      </c>
      <c r="D1305" s="126"/>
      <c r="E1305" s="126"/>
      <c r="F1305" s="126"/>
      <c r="G1305" s="126"/>
      <c r="H1305" s="126">
        <v>8</v>
      </c>
      <c r="I1305" s="126"/>
      <c r="J1305" s="126"/>
    </row>
    <row r="1306" spans="1:10">
      <c r="B1306" s="342" t="s">
        <v>2217</v>
      </c>
      <c r="C1306" s="17">
        <v>10000</v>
      </c>
      <c r="D1306" s="23">
        <v>6500</v>
      </c>
      <c r="E1306" s="126"/>
      <c r="F1306" s="126"/>
      <c r="G1306" s="126"/>
      <c r="H1306" s="126">
        <v>6</v>
      </c>
      <c r="I1306" s="126"/>
      <c r="J1306" s="126"/>
    </row>
    <row r="1307" spans="1:10">
      <c r="B1307" s="342" t="s">
        <v>749</v>
      </c>
      <c r="C1307" s="126">
        <v>6500</v>
      </c>
      <c r="E1307" s="126"/>
      <c r="F1307" s="126"/>
      <c r="G1307" s="126"/>
      <c r="H1307" s="126">
        <v>3</v>
      </c>
      <c r="I1307" s="126"/>
      <c r="J1307" s="126"/>
    </row>
    <row r="1308" spans="1:10">
      <c r="A1308" s="345" t="s">
        <v>760</v>
      </c>
      <c r="B1308" s="345" t="s">
        <v>2218</v>
      </c>
      <c r="C1308" s="158">
        <f>SUM(C1258:C1307)</f>
        <v>118654.63</v>
      </c>
      <c r="D1308" s="158">
        <f>SUM(D1258:D1307)</f>
        <v>19727.169999999998</v>
      </c>
      <c r="E1308" s="158">
        <f>SUM(E1258:E1307)</f>
        <v>7500</v>
      </c>
      <c r="F1308" s="158"/>
      <c r="G1308" s="158">
        <f>SUM(G1258:G1307)</f>
        <v>21664.720000000001</v>
      </c>
      <c r="H1308" s="158"/>
      <c r="I1308" s="158">
        <f>SUM(C1308:G1308)</f>
        <v>167546.51999999999</v>
      </c>
      <c r="J1308" s="126"/>
    </row>
    <row r="1309" spans="1:10">
      <c r="A1309" s="343" t="s">
        <v>769</v>
      </c>
      <c r="C1309" s="126"/>
      <c r="D1309" s="126"/>
      <c r="E1309" s="126"/>
      <c r="F1309" s="126"/>
      <c r="G1309" s="126"/>
      <c r="H1309" s="126"/>
      <c r="I1309" s="126"/>
      <c r="J1309" s="126"/>
    </row>
    <row r="1310" spans="1:10">
      <c r="A1310" s="101">
        <v>46204</v>
      </c>
      <c r="B1310" s="342" t="s">
        <v>1625</v>
      </c>
      <c r="C1310" s="394">
        <v>1000</v>
      </c>
      <c r="D1310" s="126"/>
      <c r="E1310" s="126"/>
      <c r="F1310" s="126"/>
      <c r="G1310" s="126"/>
      <c r="H1310" s="126">
        <v>9</v>
      </c>
      <c r="I1310" s="126"/>
    </row>
    <row r="1311" spans="1:10">
      <c r="A1311" s="342"/>
      <c r="B1311" s="342" t="s">
        <v>1782</v>
      </c>
      <c r="C1311" s="394">
        <v>1760</v>
      </c>
      <c r="D1311" s="126"/>
      <c r="E1311" s="126"/>
      <c r="F1311" s="126"/>
      <c r="G1311" s="126"/>
      <c r="H1311" s="126">
        <v>8</v>
      </c>
      <c r="I1311" s="126"/>
    </row>
    <row r="1312" spans="1:10">
      <c r="A1312" s="342"/>
      <c r="B1312" s="342" t="s">
        <v>2219</v>
      </c>
      <c r="C1312" s="126"/>
      <c r="D1312" s="126"/>
      <c r="E1312" s="126"/>
      <c r="F1312" s="126"/>
      <c r="G1312" s="126">
        <v>3079.35</v>
      </c>
      <c r="H1312" s="126">
        <v>10</v>
      </c>
      <c r="I1312" s="126"/>
    </row>
    <row r="1313" spans="1:12">
      <c r="A1313" s="101">
        <v>46205</v>
      </c>
      <c r="B1313" s="342" t="s">
        <v>2220</v>
      </c>
      <c r="C1313" s="126"/>
      <c r="D1313" s="126"/>
      <c r="E1313" s="126"/>
      <c r="F1313" s="126"/>
      <c r="G1313" s="126">
        <v>13777.14</v>
      </c>
      <c r="H1313" s="126">
        <v>10</v>
      </c>
      <c r="I1313" s="126"/>
    </row>
    <row r="1314" spans="1:12">
      <c r="A1314" s="101">
        <v>46206</v>
      </c>
      <c r="B1314" s="342" t="s">
        <v>2221</v>
      </c>
      <c r="C1314" s="126"/>
      <c r="D1314" s="126">
        <v>399</v>
      </c>
      <c r="E1314" s="126"/>
      <c r="F1314" s="126"/>
      <c r="G1314" s="126"/>
      <c r="H1314" s="126">
        <v>8</v>
      </c>
      <c r="I1314" s="126"/>
    </row>
    <row r="1315" spans="1:12">
      <c r="A1315" s="342"/>
      <c r="B1315" s="342" t="s">
        <v>2222</v>
      </c>
      <c r="C1315" s="126">
        <v>17110.28</v>
      </c>
      <c r="D1315" s="126">
        <v>5411.66</v>
      </c>
      <c r="E1315" s="126"/>
      <c r="F1315" s="126"/>
      <c r="G1315" s="126"/>
      <c r="H1315" s="126">
        <v>7</v>
      </c>
      <c r="I1315" s="126"/>
    </row>
    <row r="1316" spans="1:12">
      <c r="A1316" s="101">
        <v>46207</v>
      </c>
      <c r="B1316" s="342" t="s">
        <v>2221</v>
      </c>
      <c r="C1316" s="126"/>
      <c r="D1316" s="126">
        <v>368.75</v>
      </c>
      <c r="E1316" s="126"/>
      <c r="F1316" s="126"/>
      <c r="G1316" s="126"/>
      <c r="H1316" s="126">
        <v>8</v>
      </c>
      <c r="I1316" s="126"/>
    </row>
    <row r="1317" spans="1:12">
      <c r="A1317" s="101">
        <v>46209</v>
      </c>
      <c r="B1317" s="342" t="s">
        <v>2223</v>
      </c>
      <c r="C1317" s="126">
        <v>1500</v>
      </c>
      <c r="D1317" s="126"/>
      <c r="E1317" s="126"/>
      <c r="F1317" s="126"/>
      <c r="G1317" s="126"/>
      <c r="H1317" s="126">
        <v>9</v>
      </c>
      <c r="I1317" s="126"/>
    </row>
    <row r="1318" spans="1:12">
      <c r="A1318" s="342"/>
      <c r="B1318" s="342" t="s">
        <v>2224</v>
      </c>
      <c r="C1318" s="126"/>
      <c r="D1318" s="126"/>
      <c r="E1318" s="126"/>
      <c r="F1318" s="126"/>
      <c r="G1318" s="126">
        <v>1191</v>
      </c>
      <c r="H1318" s="126">
        <v>8</v>
      </c>
      <c r="I1318" s="126"/>
      <c r="J1318" s="349" t="s">
        <v>769</v>
      </c>
      <c r="K1318" s="54" t="s">
        <v>661</v>
      </c>
    </row>
    <row r="1319" spans="1:12">
      <c r="A1319" s="101">
        <v>46210</v>
      </c>
      <c r="B1319" s="342" t="s">
        <v>2009</v>
      </c>
      <c r="C1319" s="126">
        <v>1500</v>
      </c>
      <c r="D1319" s="126"/>
      <c r="E1319" s="126"/>
      <c r="F1319" s="126"/>
      <c r="G1319" s="126"/>
      <c r="H1319" s="126">
        <v>9</v>
      </c>
      <c r="I1319" s="126"/>
      <c r="J1319" s="53" t="s">
        <v>613</v>
      </c>
      <c r="K1319" s="54"/>
      <c r="L1319" s="105">
        <f>SUM(L1263,K1319)</f>
        <v>0</v>
      </c>
    </row>
    <row r="1320" spans="1:12">
      <c r="A1320" s="101">
        <v>46211</v>
      </c>
      <c r="B1320" s="342" t="s">
        <v>2225</v>
      </c>
      <c r="C1320" s="126"/>
      <c r="D1320" s="126"/>
      <c r="E1320" s="126"/>
      <c r="F1320" s="126"/>
      <c r="G1320" s="126">
        <v>1000</v>
      </c>
      <c r="H1320" s="126">
        <v>10</v>
      </c>
      <c r="I1320" s="126"/>
      <c r="J1320" s="55" t="s">
        <v>615</v>
      </c>
      <c r="K1320" s="54"/>
      <c r="L1320" s="105">
        <f t="shared" ref="L1320:L1331" si="16">SUM(L1264,K1320)</f>
        <v>28924</v>
      </c>
    </row>
    <row r="1321" spans="1:12">
      <c r="A1321" s="342"/>
      <c r="B1321" s="342" t="s">
        <v>2226</v>
      </c>
      <c r="C1321" s="126"/>
      <c r="D1321" s="126"/>
      <c r="E1321" s="126"/>
      <c r="F1321" s="126"/>
      <c r="G1321" s="126">
        <v>7500</v>
      </c>
      <c r="H1321" s="126">
        <v>10</v>
      </c>
      <c r="I1321" s="126"/>
      <c r="J1321" s="56" t="s">
        <v>617</v>
      </c>
      <c r="K1321" s="54">
        <f>SUM(C1365)</f>
        <v>6500</v>
      </c>
      <c r="L1321" s="105">
        <f t="shared" si="16"/>
        <v>52000</v>
      </c>
    </row>
    <row r="1322" spans="1:12">
      <c r="A1322" s="101">
        <v>46213</v>
      </c>
      <c r="B1322" s="342" t="s">
        <v>2227</v>
      </c>
      <c r="C1322" s="126">
        <v>714</v>
      </c>
      <c r="D1322" s="126"/>
      <c r="E1322" s="126"/>
      <c r="F1322" s="126"/>
      <c r="G1322" s="126"/>
      <c r="H1322" s="126">
        <v>7</v>
      </c>
      <c r="I1322" s="126"/>
      <c r="J1322" s="57" t="s">
        <v>619</v>
      </c>
      <c r="K1322" s="54"/>
      <c r="L1322" s="105">
        <f t="shared" si="16"/>
        <v>0</v>
      </c>
    </row>
    <row r="1323" spans="1:12">
      <c r="A1323" s="342"/>
      <c r="B1323" s="342" t="s">
        <v>1938</v>
      </c>
      <c r="C1323" s="126"/>
      <c r="D1323" s="126"/>
      <c r="E1323" s="126"/>
      <c r="F1323" s="126"/>
      <c r="G1323" s="126">
        <v>6400</v>
      </c>
      <c r="H1323" s="126">
        <v>10</v>
      </c>
      <c r="I1323" s="126"/>
      <c r="J1323" s="58" t="s">
        <v>621</v>
      </c>
      <c r="K1323" s="54"/>
      <c r="L1323" s="105">
        <f t="shared" si="16"/>
        <v>300</v>
      </c>
    </row>
    <row r="1324" spans="1:12">
      <c r="A1324" s="101">
        <v>46214</v>
      </c>
      <c r="B1324" s="342" t="s">
        <v>2228</v>
      </c>
      <c r="C1324" s="126"/>
      <c r="D1324" s="126"/>
      <c r="E1324" s="126"/>
      <c r="F1324" s="126"/>
      <c r="G1324" s="126">
        <v>2850</v>
      </c>
      <c r="H1324" s="126">
        <v>10</v>
      </c>
      <c r="I1324" s="126"/>
      <c r="J1324" s="54" t="s">
        <v>623</v>
      </c>
      <c r="K1324" s="54">
        <f>SUM(C1364,D1364)</f>
        <v>16500</v>
      </c>
      <c r="L1324" s="105">
        <f t="shared" si="16"/>
        <v>119000</v>
      </c>
    </row>
    <row r="1325" spans="1:12">
      <c r="A1325" s="101">
        <v>46215</v>
      </c>
      <c r="B1325" s="342" t="s">
        <v>2229</v>
      </c>
      <c r="C1325" s="126"/>
      <c r="D1325" s="126"/>
      <c r="E1325" s="126"/>
      <c r="F1325" s="126"/>
      <c r="G1325" s="126">
        <v>905</v>
      </c>
      <c r="H1325" s="126">
        <v>10</v>
      </c>
      <c r="I1325" s="126"/>
      <c r="J1325" s="54" t="s">
        <v>625</v>
      </c>
      <c r="K1325" s="54"/>
      <c r="L1325" s="105">
        <f t="shared" si="16"/>
        <v>3000</v>
      </c>
    </row>
    <row r="1326" spans="1:12">
      <c r="A1326" s="342"/>
      <c r="B1326" s="342" t="s">
        <v>2230</v>
      </c>
      <c r="C1326" s="126"/>
      <c r="D1326" s="126"/>
      <c r="E1326" s="126"/>
      <c r="F1326" s="126"/>
      <c r="G1326" s="126">
        <v>363</v>
      </c>
      <c r="H1326" s="126">
        <v>10</v>
      </c>
      <c r="I1326" s="126"/>
      <c r="J1326" s="54" t="s">
        <v>627</v>
      </c>
      <c r="K1326" s="54">
        <f>SUM(C1345)</f>
        <v>760</v>
      </c>
      <c r="L1326" s="105">
        <f t="shared" si="16"/>
        <v>5320</v>
      </c>
    </row>
    <row r="1327" spans="1:12">
      <c r="A1327" s="342"/>
      <c r="B1327" s="342" t="s">
        <v>2231</v>
      </c>
      <c r="C1327" s="126">
        <v>1000</v>
      </c>
      <c r="D1327" s="126"/>
      <c r="E1327" s="126"/>
      <c r="F1327" s="126"/>
      <c r="G1327" s="126"/>
      <c r="H1327" s="126">
        <v>9</v>
      </c>
      <c r="I1327" s="126"/>
      <c r="J1327" s="54" t="s">
        <v>629</v>
      </c>
      <c r="K1327" s="54"/>
      <c r="L1327" s="105">
        <f t="shared" si="16"/>
        <v>0</v>
      </c>
    </row>
    <row r="1328" spans="1:12">
      <c r="A1328" s="101">
        <v>46216</v>
      </c>
      <c r="B1328" s="342" t="s">
        <v>2232</v>
      </c>
      <c r="C1328" s="126"/>
      <c r="D1328" s="126"/>
      <c r="E1328" s="126"/>
      <c r="F1328" s="126"/>
      <c r="G1328" s="126">
        <v>1000</v>
      </c>
      <c r="H1328" s="126">
        <v>10</v>
      </c>
      <c r="I1328" s="126"/>
      <c r="J1328" s="54" t="s">
        <v>631</v>
      </c>
      <c r="K1328" s="54">
        <f>SUM(C1315,D1315,C1322)</f>
        <v>23235.94</v>
      </c>
      <c r="L1328" s="105">
        <f t="shared" si="16"/>
        <v>110532.98000000001</v>
      </c>
    </row>
    <row r="1329" spans="1:12">
      <c r="A1329" s="101">
        <v>46218</v>
      </c>
      <c r="B1329" s="342" t="s">
        <v>2233</v>
      </c>
      <c r="C1329" s="126">
        <v>3353.5</v>
      </c>
      <c r="D1329" s="126"/>
      <c r="E1329" s="126"/>
      <c r="F1329" s="126"/>
      <c r="G1329" s="126"/>
      <c r="H1329" s="126">
        <v>8</v>
      </c>
      <c r="I1329" s="126"/>
      <c r="J1329" s="54" t="s">
        <v>634</v>
      </c>
      <c r="K1329" s="54">
        <f>SUM(C1311,D1314,D1316,G1318,C1335,E1330,C1329,C1336,C1337,E1339,E1340,E1341,F1346,F1347,C1349,F1349,C1350,F1350,C1355,G1356,C1357,E1358,C1359,C1360,E1342)</f>
        <v>41143.699999999997</v>
      </c>
      <c r="L1329" s="105">
        <f t="shared" si="16"/>
        <v>289367.92</v>
      </c>
    </row>
    <row r="1330" spans="1:12">
      <c r="A1330" s="101">
        <v>46219</v>
      </c>
      <c r="B1330" s="342" t="s">
        <v>2234</v>
      </c>
      <c r="C1330" s="126"/>
      <c r="D1330" s="126"/>
      <c r="E1330" s="126">
        <v>3181.5</v>
      </c>
      <c r="F1330" s="126"/>
      <c r="G1330" s="126"/>
      <c r="H1330" s="126">
        <v>8</v>
      </c>
      <c r="I1330" s="126"/>
      <c r="J1330" s="54" t="s">
        <v>636</v>
      </c>
      <c r="K1330" s="63">
        <f>SUM(C1310,C1319,C1327,C1353,C1363,C1362,C1343,C1317)</f>
        <v>10220</v>
      </c>
      <c r="L1330" s="105">
        <f t="shared" si="16"/>
        <v>29840.75</v>
      </c>
    </row>
    <row r="1331" spans="1:12">
      <c r="A1331" s="342"/>
      <c r="B1331" s="342" t="s">
        <v>2235</v>
      </c>
      <c r="C1331" s="126"/>
      <c r="D1331" s="126"/>
      <c r="E1331" s="126"/>
      <c r="F1331" s="126"/>
      <c r="G1331" s="126">
        <v>889</v>
      </c>
      <c r="H1331" s="126">
        <v>10</v>
      </c>
      <c r="I1331" s="126"/>
      <c r="J1331" s="54" t="s">
        <v>638</v>
      </c>
      <c r="K1331" s="54">
        <f>SUM(G1312,G1313,G1320,G1321,G1323,G1324,G1325,G1326,G1328,G1331,G1332,G1333,G1344,G1351,G1352,G1354,G1361)</f>
        <v>68033.489999999991</v>
      </c>
      <c r="L1331" s="105">
        <f t="shared" si="16"/>
        <v>582340.81999999995</v>
      </c>
    </row>
    <row r="1332" spans="1:12">
      <c r="A1332" s="101">
        <v>46220</v>
      </c>
      <c r="B1332" s="342" t="s">
        <v>2236</v>
      </c>
      <c r="C1332" s="126"/>
      <c r="D1332" s="126"/>
      <c r="E1332" s="126"/>
      <c r="F1332" s="126"/>
      <c r="G1332" s="126">
        <v>6000</v>
      </c>
      <c r="H1332" s="126">
        <v>10</v>
      </c>
      <c r="I1332" s="126"/>
      <c r="J1332" s="126"/>
      <c r="K1332" s="344">
        <f>SUM(K1319:K1331)</f>
        <v>166393.13</v>
      </c>
      <c r="L1332" s="165">
        <f>SUM(L1319:L1331)</f>
        <v>1220626.4699999997</v>
      </c>
    </row>
    <row r="1333" spans="1:12">
      <c r="A1333" s="342"/>
      <c r="B1333" s="342" t="s">
        <v>2237</v>
      </c>
      <c r="C1333" s="126"/>
      <c r="D1333" s="126"/>
      <c r="E1333" s="126"/>
      <c r="F1333" s="126"/>
      <c r="G1333" s="126">
        <v>1000</v>
      </c>
      <c r="H1333" s="126">
        <v>10</v>
      </c>
      <c r="I1333" s="126"/>
      <c r="J1333" s="126"/>
      <c r="K1333" s="387"/>
      <c r="L1333" s="165">
        <f>SUM(L1277,K1332)</f>
        <v>1220626.4700000002</v>
      </c>
    </row>
    <row r="1334" spans="1:12">
      <c r="A1334" s="101">
        <v>46221</v>
      </c>
      <c r="B1334" s="342" t="s">
        <v>2238</v>
      </c>
      <c r="H1334" s="352"/>
    </row>
    <row r="1335" spans="1:12">
      <c r="A1335" s="342"/>
      <c r="B1335" s="342" t="s">
        <v>2239</v>
      </c>
      <c r="C1335" s="126">
        <v>2100</v>
      </c>
      <c r="D1335" s="342"/>
      <c r="E1335" s="342"/>
      <c r="F1335" s="342"/>
      <c r="G1335" s="342"/>
      <c r="H1335" s="126">
        <v>8</v>
      </c>
      <c r="I1335" s="342"/>
      <c r="J1335" s="342"/>
    </row>
    <row r="1336" spans="1:12">
      <c r="A1336" s="342"/>
      <c r="B1336" s="342" t="s">
        <v>2240</v>
      </c>
      <c r="C1336" s="126">
        <v>2100</v>
      </c>
      <c r="D1336" s="342"/>
      <c r="E1336" s="342"/>
      <c r="F1336" s="342"/>
      <c r="G1336" s="342"/>
      <c r="H1336" s="126">
        <v>8</v>
      </c>
      <c r="I1336" s="342"/>
      <c r="J1336" s="342"/>
    </row>
    <row r="1337" spans="1:12">
      <c r="A1337" s="342"/>
      <c r="B1337" s="342" t="s">
        <v>2241</v>
      </c>
      <c r="C1337" s="126">
        <v>1800</v>
      </c>
      <c r="D1337" s="342"/>
      <c r="E1337" s="342"/>
      <c r="F1337" s="342"/>
      <c r="G1337" s="342"/>
      <c r="H1337" s="126">
        <v>8</v>
      </c>
      <c r="I1337" s="342"/>
      <c r="J1337" s="342"/>
    </row>
    <row r="1338" spans="1:12">
      <c r="A1338" s="342"/>
      <c r="B1338" s="342" t="s">
        <v>2242</v>
      </c>
      <c r="C1338" s="342"/>
      <c r="D1338" s="342"/>
      <c r="E1338" s="342"/>
      <c r="F1338" s="342"/>
      <c r="G1338" s="342"/>
      <c r="H1338" s="126"/>
      <c r="I1338" s="342"/>
      <c r="J1338" s="342"/>
    </row>
    <row r="1339" spans="1:12">
      <c r="A1339" s="342"/>
      <c r="B1339" s="342" t="s">
        <v>2239</v>
      </c>
      <c r="C1339" s="342"/>
      <c r="D1339" s="342"/>
      <c r="E1339" s="126">
        <v>1400</v>
      </c>
      <c r="F1339" s="342"/>
      <c r="G1339" s="342"/>
      <c r="H1339" s="126">
        <v>8</v>
      </c>
      <c r="I1339" s="342"/>
      <c r="J1339" s="342"/>
    </row>
    <row r="1340" spans="1:12">
      <c r="A1340" s="342"/>
      <c r="B1340" s="342" t="s">
        <v>2240</v>
      </c>
      <c r="C1340" s="342"/>
      <c r="D1340" s="342"/>
      <c r="E1340" s="126">
        <v>1400</v>
      </c>
      <c r="F1340" s="342"/>
      <c r="G1340" s="342"/>
      <c r="H1340" s="126">
        <v>8</v>
      </c>
      <c r="I1340" s="342"/>
      <c r="J1340" s="342"/>
    </row>
    <row r="1341" spans="1:12">
      <c r="A1341" s="342"/>
      <c r="B1341" s="342" t="s">
        <v>2241</v>
      </c>
      <c r="C1341" s="342"/>
      <c r="D1341" s="342"/>
      <c r="E1341" s="126">
        <v>1200</v>
      </c>
      <c r="F1341" s="342"/>
      <c r="G1341" s="342"/>
      <c r="H1341" s="126">
        <v>8</v>
      </c>
      <c r="I1341" s="342"/>
      <c r="J1341" s="342"/>
    </row>
    <row r="1342" spans="1:12">
      <c r="A1342" s="342"/>
      <c r="B1342" s="342" t="s">
        <v>2243</v>
      </c>
      <c r="C1342" s="342"/>
      <c r="D1342" s="342"/>
      <c r="E1342" s="126">
        <v>661</v>
      </c>
      <c r="F1342" s="342"/>
      <c r="G1342" s="342"/>
      <c r="H1342" s="126">
        <v>8</v>
      </c>
      <c r="I1342" s="342"/>
      <c r="J1342" s="342"/>
    </row>
    <row r="1343" spans="1:12">
      <c r="A1343" s="101">
        <v>46222</v>
      </c>
      <c r="B1343" s="342" t="s">
        <v>2223</v>
      </c>
      <c r="C1343" s="126">
        <v>1500</v>
      </c>
      <c r="D1343" s="342"/>
      <c r="E1343" s="342"/>
      <c r="F1343" s="342"/>
      <c r="G1343" s="342"/>
      <c r="H1343" s="126">
        <v>9</v>
      </c>
      <c r="I1343" s="342"/>
      <c r="J1343" s="342"/>
    </row>
    <row r="1344" spans="1:12">
      <c r="A1344" s="101">
        <v>46223</v>
      </c>
      <c r="B1344" s="342" t="s">
        <v>2244</v>
      </c>
      <c r="C1344" s="342"/>
      <c r="D1344" s="342"/>
      <c r="E1344" s="342"/>
      <c r="F1344" s="342"/>
      <c r="G1344" s="126">
        <v>20000</v>
      </c>
      <c r="H1344" s="126">
        <v>10</v>
      </c>
      <c r="I1344" s="342"/>
      <c r="J1344" s="342"/>
    </row>
    <row r="1345" spans="1:10">
      <c r="A1345" s="101">
        <v>46225</v>
      </c>
      <c r="B1345" s="342" t="s">
        <v>2245</v>
      </c>
      <c r="C1345" s="126">
        <v>760</v>
      </c>
      <c r="D1345" s="342"/>
      <c r="E1345" s="342"/>
      <c r="F1345" s="342"/>
      <c r="G1345" s="342"/>
      <c r="H1345" s="126" t="s">
        <v>2261</v>
      </c>
      <c r="I1345" s="342"/>
      <c r="J1345" s="342"/>
    </row>
    <row r="1346" spans="1:10">
      <c r="A1346" s="101">
        <v>46228</v>
      </c>
      <c r="B1346" s="342" t="s">
        <v>2246</v>
      </c>
      <c r="C1346" s="342"/>
      <c r="D1346" s="342"/>
      <c r="E1346" s="342"/>
      <c r="F1346" s="342">
        <v>575.75</v>
      </c>
      <c r="G1346" s="342"/>
      <c r="H1346" s="126">
        <v>8</v>
      </c>
      <c r="I1346" s="342"/>
      <c r="J1346" s="342"/>
    </row>
    <row r="1347" spans="1:10">
      <c r="A1347" s="342"/>
      <c r="B1347" s="342" t="s">
        <v>2247</v>
      </c>
      <c r="C1347" s="342"/>
      <c r="D1347" s="342"/>
      <c r="E1347" s="342"/>
      <c r="F1347" s="126">
        <v>945</v>
      </c>
      <c r="G1347" s="342"/>
      <c r="H1347" s="126">
        <v>8</v>
      </c>
      <c r="I1347" s="342"/>
      <c r="J1347" s="342"/>
    </row>
    <row r="1348" spans="1:10">
      <c r="A1348" s="342"/>
      <c r="B1348" s="342" t="s">
        <v>2248</v>
      </c>
      <c r="C1348" s="342"/>
      <c r="D1348" s="342"/>
      <c r="E1348" s="342"/>
      <c r="F1348" s="342"/>
      <c r="G1348" s="342"/>
      <c r="H1348" s="126"/>
      <c r="I1348" s="342"/>
      <c r="J1348" s="342"/>
    </row>
    <row r="1349" spans="1:10">
      <c r="A1349" s="342"/>
      <c r="B1349" s="342" t="s">
        <v>2239</v>
      </c>
      <c r="C1349" s="126">
        <v>2100</v>
      </c>
      <c r="D1349" s="126"/>
      <c r="E1349" s="126"/>
      <c r="F1349" s="126">
        <v>2100</v>
      </c>
      <c r="G1349" s="342"/>
      <c r="H1349" s="126">
        <v>8</v>
      </c>
      <c r="I1349" s="342"/>
      <c r="J1349" s="342"/>
    </row>
    <row r="1350" spans="1:10">
      <c r="A1350" s="342"/>
      <c r="B1350" s="342" t="s">
        <v>2240</v>
      </c>
      <c r="C1350" s="126">
        <v>2100</v>
      </c>
      <c r="D1350" s="126"/>
      <c r="E1350" s="126"/>
      <c r="F1350" s="126">
        <v>2100</v>
      </c>
      <c r="G1350" s="342"/>
      <c r="H1350" s="126">
        <v>8</v>
      </c>
      <c r="I1350" s="342"/>
      <c r="J1350" s="342"/>
    </row>
    <row r="1351" spans="1:10">
      <c r="A1351" s="101">
        <v>46229</v>
      </c>
      <c r="B1351" s="342" t="s">
        <v>2249</v>
      </c>
      <c r="C1351" s="342"/>
      <c r="D1351" s="342"/>
      <c r="E1351" s="342"/>
      <c r="F1351" s="342"/>
      <c r="G1351" s="126">
        <v>1750</v>
      </c>
      <c r="H1351" s="126">
        <v>10</v>
      </c>
      <c r="I1351" s="342"/>
      <c r="J1351" s="342"/>
    </row>
    <row r="1352" spans="1:10">
      <c r="A1352" s="342"/>
      <c r="B1352" s="342" t="s">
        <v>1440</v>
      </c>
      <c r="C1352" s="342"/>
      <c r="D1352" s="342"/>
      <c r="E1352" s="342"/>
      <c r="F1352" s="342"/>
      <c r="G1352" s="126">
        <v>420</v>
      </c>
      <c r="H1352" s="126">
        <v>10</v>
      </c>
      <c r="I1352" s="342"/>
      <c r="J1352" s="342"/>
    </row>
    <row r="1353" spans="1:10">
      <c r="A1353" s="342"/>
      <c r="B1353" s="342" t="s">
        <v>2250</v>
      </c>
      <c r="C1353" s="126">
        <v>1500</v>
      </c>
      <c r="D1353" s="342"/>
      <c r="E1353" s="342"/>
      <c r="F1353" s="342"/>
      <c r="G1353" s="342"/>
      <c r="H1353" s="126">
        <v>9</v>
      </c>
      <c r="I1353" s="342"/>
      <c r="J1353" s="342"/>
    </row>
    <row r="1354" spans="1:10">
      <c r="A1354" s="101">
        <v>46230</v>
      </c>
      <c r="B1354" s="342" t="s">
        <v>2251</v>
      </c>
      <c r="C1354" s="342"/>
      <c r="D1354" s="342"/>
      <c r="E1354" s="342"/>
      <c r="F1354" s="342"/>
      <c r="G1354" s="126">
        <v>900</v>
      </c>
      <c r="H1354" s="126">
        <v>10</v>
      </c>
      <c r="I1354" s="342"/>
      <c r="J1354" s="342"/>
    </row>
    <row r="1355" spans="1:10">
      <c r="A1355" s="342"/>
      <c r="B1355" s="342" t="s">
        <v>2252</v>
      </c>
      <c r="C1355" s="126">
        <v>3963</v>
      </c>
      <c r="D1355" s="342"/>
      <c r="E1355" s="342"/>
      <c r="F1355" s="342"/>
      <c r="G1355" s="342"/>
      <c r="H1355" s="126">
        <v>8</v>
      </c>
      <c r="I1355" s="342"/>
      <c r="J1355" s="342"/>
    </row>
    <row r="1356" spans="1:10">
      <c r="A1356" s="342"/>
      <c r="B1356" s="342" t="s">
        <v>2253</v>
      </c>
      <c r="C1356" s="342"/>
      <c r="D1356" s="342"/>
      <c r="E1356" s="342"/>
      <c r="F1356" s="342"/>
      <c r="G1356" s="126">
        <v>808.45</v>
      </c>
      <c r="H1356" s="126">
        <v>8</v>
      </c>
      <c r="I1356" s="342"/>
      <c r="J1356" s="342"/>
    </row>
    <row r="1357" spans="1:10">
      <c r="A1357" s="101">
        <v>46231</v>
      </c>
      <c r="B1357" s="342" t="s">
        <v>2233</v>
      </c>
      <c r="C1357" s="126">
        <v>1647</v>
      </c>
      <c r="D1357" s="342"/>
      <c r="E1357" s="342"/>
      <c r="F1357" s="342"/>
      <c r="G1357" s="342"/>
      <c r="H1357" s="126">
        <v>8</v>
      </c>
      <c r="I1357" s="342"/>
      <c r="J1357" s="342"/>
    </row>
    <row r="1358" spans="1:10">
      <c r="A1358" s="342"/>
      <c r="B1358" s="342" t="s">
        <v>2254</v>
      </c>
      <c r="C1358" s="342"/>
      <c r="D1358" s="342"/>
      <c r="E1358" s="126">
        <v>600</v>
      </c>
      <c r="F1358" s="342"/>
      <c r="G1358" s="342"/>
      <c r="H1358" s="126">
        <v>8</v>
      </c>
      <c r="I1358" s="342"/>
      <c r="J1358" s="342"/>
    </row>
    <row r="1359" spans="1:10">
      <c r="A1359" s="342"/>
      <c r="B1359" s="342" t="s">
        <v>2255</v>
      </c>
      <c r="C1359" s="126">
        <v>168</v>
      </c>
      <c r="D1359" s="342"/>
      <c r="E1359" s="342"/>
      <c r="F1359" s="342"/>
      <c r="G1359" s="342"/>
      <c r="H1359" s="126">
        <v>8</v>
      </c>
      <c r="I1359" s="342"/>
      <c r="J1359" s="342"/>
    </row>
    <row r="1360" spans="1:10">
      <c r="A1360" s="101">
        <v>46233</v>
      </c>
      <c r="B1360" s="342" t="s">
        <v>2233</v>
      </c>
      <c r="C1360" s="126">
        <v>3121.75</v>
      </c>
      <c r="D1360" s="342"/>
      <c r="E1360" s="342"/>
      <c r="F1360" s="342"/>
      <c r="G1360" s="342"/>
      <c r="H1360" s="126">
        <v>8</v>
      </c>
      <c r="I1360" s="342"/>
      <c r="J1360" s="342"/>
    </row>
    <row r="1361" spans="1:12">
      <c r="B1361" s="342" t="s">
        <v>2256</v>
      </c>
      <c r="C1361" s="126"/>
      <c r="D1361" s="126"/>
      <c r="E1361" s="126"/>
      <c r="F1361" s="126"/>
      <c r="G1361" s="126">
        <v>200</v>
      </c>
      <c r="H1361" s="126">
        <v>10</v>
      </c>
    </row>
    <row r="1362" spans="1:12">
      <c r="A1362" s="101">
        <v>46234</v>
      </c>
      <c r="B1362" s="342" t="s">
        <v>2257</v>
      </c>
      <c r="C1362" s="126">
        <v>1500</v>
      </c>
      <c r="D1362" s="126"/>
      <c r="E1362" s="126"/>
      <c r="F1362" s="126"/>
      <c r="G1362" s="126"/>
      <c r="H1362" s="126">
        <v>9</v>
      </c>
    </row>
    <row r="1363" spans="1:12">
      <c r="A1363" s="342"/>
      <c r="B1363" s="342" t="s">
        <v>2200</v>
      </c>
      <c r="C1363" s="126">
        <v>720</v>
      </c>
      <c r="D1363" s="126"/>
      <c r="E1363" s="126"/>
      <c r="F1363" s="126"/>
      <c r="G1363" s="126"/>
      <c r="H1363" s="126">
        <v>9</v>
      </c>
    </row>
    <row r="1364" spans="1:12">
      <c r="A1364" s="342"/>
      <c r="B1364" s="342" t="s">
        <v>2258</v>
      </c>
      <c r="C1364" s="17">
        <v>10000</v>
      </c>
      <c r="D1364" s="23">
        <v>6500</v>
      </c>
      <c r="E1364" s="126"/>
      <c r="F1364" s="126"/>
      <c r="G1364" s="126"/>
      <c r="H1364" s="126">
        <v>6</v>
      </c>
    </row>
    <row r="1365" spans="1:12">
      <c r="A1365" s="342"/>
      <c r="B1365" s="342" t="s">
        <v>749</v>
      </c>
      <c r="C1365" s="126">
        <v>6500</v>
      </c>
      <c r="E1365" s="126"/>
      <c r="F1365" s="126"/>
      <c r="G1365" s="126"/>
      <c r="H1365" s="126">
        <v>3</v>
      </c>
    </row>
    <row r="1366" spans="1:12">
      <c r="A1366" s="343" t="s">
        <v>2260</v>
      </c>
      <c r="B1366" s="345" t="s">
        <v>2259</v>
      </c>
      <c r="C1366" s="158">
        <f>SUM(C1310:C1365)</f>
        <v>69517.53</v>
      </c>
      <c r="D1366" s="158">
        <f>SUM(D1310:D1365)</f>
        <v>12679.41</v>
      </c>
      <c r="E1366" s="158">
        <f>SUM(E1310:E1365)</f>
        <v>8442.5</v>
      </c>
      <c r="F1366" s="158">
        <f>SUM(F1310:F1365)</f>
        <v>5720.75</v>
      </c>
      <c r="G1366" s="158">
        <f>SUM(G1310:G1365)</f>
        <v>70032.939999999988</v>
      </c>
      <c r="H1366" s="131"/>
      <c r="I1366" s="161">
        <f>SUM(C1366:H1366)</f>
        <v>166393.13</v>
      </c>
    </row>
    <row r="1367" spans="1:12">
      <c r="A1367" s="343" t="s">
        <v>2355</v>
      </c>
      <c r="B1367" s="342"/>
      <c r="C1367" s="126"/>
      <c r="D1367" s="126"/>
      <c r="E1367" s="126"/>
      <c r="F1367" s="126"/>
      <c r="G1367" s="126"/>
      <c r="H1367" s="126"/>
    </row>
    <row r="1368" spans="1:12">
      <c r="A1368" s="101">
        <v>46235</v>
      </c>
      <c r="B1368" s="342" t="s">
        <v>2233</v>
      </c>
      <c r="C1368" s="126">
        <v>2502.25</v>
      </c>
      <c r="D1368" s="126"/>
      <c r="E1368" s="126"/>
      <c r="F1368" s="126"/>
      <c r="G1368" s="126"/>
      <c r="H1368" s="126">
        <v>8</v>
      </c>
    </row>
    <row r="1369" spans="1:12">
      <c r="A1369" s="342"/>
      <c r="B1369" s="342" t="s">
        <v>2356</v>
      </c>
      <c r="C1369" s="126"/>
      <c r="D1369" s="126"/>
      <c r="E1369" s="126"/>
      <c r="F1369" s="126"/>
      <c r="G1369" s="126"/>
      <c r="H1369" s="126"/>
    </row>
    <row r="1370" spans="1:12">
      <c r="A1370" s="342"/>
      <c r="B1370" s="342" t="s">
        <v>2239</v>
      </c>
      <c r="C1370" s="126">
        <v>4200</v>
      </c>
      <c r="D1370" s="126"/>
      <c r="E1370" s="126"/>
      <c r="F1370" s="126"/>
      <c r="G1370" s="126"/>
      <c r="H1370" s="126">
        <v>8</v>
      </c>
    </row>
    <row r="1371" spans="1:12">
      <c r="A1371" s="342"/>
      <c r="B1371" s="342" t="s">
        <v>2240</v>
      </c>
      <c r="C1371" s="126">
        <v>4200</v>
      </c>
      <c r="D1371" s="126"/>
      <c r="E1371" s="126"/>
      <c r="F1371" s="126"/>
      <c r="G1371" s="126"/>
      <c r="H1371" s="126">
        <v>8</v>
      </c>
    </row>
    <row r="1372" spans="1:12">
      <c r="A1372" s="342"/>
      <c r="B1372" s="342" t="s">
        <v>1690</v>
      </c>
      <c r="C1372" s="126">
        <v>2250</v>
      </c>
      <c r="D1372" s="126"/>
      <c r="E1372" s="126"/>
      <c r="F1372" s="126"/>
      <c r="G1372" s="126"/>
      <c r="H1372" s="126">
        <v>8</v>
      </c>
      <c r="J1372" s="349" t="s">
        <v>784</v>
      </c>
      <c r="K1372" s="54" t="s">
        <v>661</v>
      </c>
    </row>
    <row r="1373" spans="1:12">
      <c r="A1373" s="342"/>
      <c r="B1373" s="342" t="s">
        <v>2357</v>
      </c>
      <c r="C1373" s="126">
        <v>1500</v>
      </c>
      <c r="D1373" s="126"/>
      <c r="E1373" s="126"/>
      <c r="F1373" s="126"/>
      <c r="G1373" s="126"/>
      <c r="H1373" s="126">
        <v>9</v>
      </c>
      <c r="J1373" s="53" t="s">
        <v>613</v>
      </c>
      <c r="K1373" s="54"/>
      <c r="L1373" s="105">
        <f>SUM(L1319,K1373)</f>
        <v>0</v>
      </c>
    </row>
    <row r="1374" spans="1:12">
      <c r="A1374" s="101">
        <v>46237</v>
      </c>
      <c r="B1374" s="342" t="s">
        <v>2358</v>
      </c>
      <c r="C1374" s="126"/>
      <c r="D1374" s="126"/>
      <c r="E1374" s="126"/>
      <c r="F1374" s="126"/>
      <c r="G1374" s="126">
        <v>1090</v>
      </c>
      <c r="H1374" s="126">
        <v>10</v>
      </c>
      <c r="J1374" s="55" t="s">
        <v>615</v>
      </c>
      <c r="K1374" s="54"/>
      <c r="L1374" s="105">
        <f>SUM(L1320,K1374)</f>
        <v>28924</v>
      </c>
    </row>
    <row r="1375" spans="1:12">
      <c r="A1375" s="342"/>
      <c r="B1375" s="342" t="s">
        <v>1452</v>
      </c>
      <c r="C1375" s="126"/>
      <c r="D1375" s="126"/>
      <c r="E1375" s="126"/>
      <c r="F1375" s="126"/>
      <c r="G1375" s="126">
        <v>429</v>
      </c>
      <c r="H1375" s="126">
        <v>10</v>
      </c>
      <c r="J1375" s="56" t="s">
        <v>617</v>
      </c>
      <c r="K1375" s="54">
        <f>SUM(C1405)</f>
        <v>6500</v>
      </c>
      <c r="L1375" s="105">
        <f t="shared" ref="L1375:L1385" si="17">SUM(L1321,K1375)</f>
        <v>58500</v>
      </c>
    </row>
    <row r="1376" spans="1:12">
      <c r="A1376" s="342"/>
      <c r="B1376" s="342" t="s">
        <v>2359</v>
      </c>
      <c r="C1376" s="126">
        <v>714</v>
      </c>
      <c r="D1376" s="126"/>
      <c r="E1376" s="126"/>
      <c r="F1376" s="126"/>
      <c r="G1376" s="126"/>
      <c r="H1376" s="126">
        <v>7</v>
      </c>
      <c r="J1376" s="57" t="s">
        <v>619</v>
      </c>
      <c r="K1376" s="54"/>
      <c r="L1376" s="105">
        <f t="shared" si="17"/>
        <v>0</v>
      </c>
    </row>
    <row r="1377" spans="1:12">
      <c r="A1377" s="342"/>
      <c r="B1377" s="342" t="s">
        <v>2360</v>
      </c>
      <c r="C1377" s="126">
        <v>16424.68</v>
      </c>
      <c r="D1377" s="126">
        <v>8076.85</v>
      </c>
      <c r="E1377" s="126"/>
      <c r="F1377" s="126"/>
      <c r="G1377" s="126"/>
      <c r="H1377" s="126">
        <v>7</v>
      </c>
      <c r="J1377" s="58" t="s">
        <v>621</v>
      </c>
      <c r="K1377" s="54"/>
      <c r="L1377" s="105">
        <f t="shared" si="17"/>
        <v>300</v>
      </c>
    </row>
    <row r="1378" spans="1:12">
      <c r="A1378" s="101">
        <v>46238</v>
      </c>
      <c r="B1378" s="342" t="s">
        <v>2361</v>
      </c>
      <c r="C1378" s="126">
        <v>2811</v>
      </c>
      <c r="D1378" s="126"/>
      <c r="E1378" s="126"/>
      <c r="F1378" s="126"/>
      <c r="G1378" s="126"/>
      <c r="H1378" s="126">
        <v>8</v>
      </c>
      <c r="J1378" s="54" t="s">
        <v>623</v>
      </c>
      <c r="K1378" s="54">
        <f>SUM(C1404,D1404)</f>
        <v>16500</v>
      </c>
      <c r="L1378" s="105">
        <f t="shared" si="17"/>
        <v>135500</v>
      </c>
    </row>
    <row r="1379" spans="1:12">
      <c r="A1379" s="101">
        <v>46240</v>
      </c>
      <c r="B1379" s="342" t="s">
        <v>2362</v>
      </c>
      <c r="C1379" s="126">
        <v>4419.5</v>
      </c>
      <c r="D1379" s="126"/>
      <c r="E1379" s="126"/>
      <c r="F1379" s="126"/>
      <c r="G1379" s="126"/>
      <c r="H1379" s="126">
        <v>8</v>
      </c>
      <c r="J1379" s="54" t="s">
        <v>625</v>
      </c>
      <c r="K1379" s="54"/>
      <c r="L1379" s="105">
        <f t="shared" si="17"/>
        <v>3000</v>
      </c>
    </row>
    <row r="1380" spans="1:12">
      <c r="A1380" s="101">
        <v>46242</v>
      </c>
      <c r="B1380" s="342" t="s">
        <v>2363</v>
      </c>
      <c r="C1380" s="126"/>
      <c r="D1380" s="126">
        <v>1099</v>
      </c>
      <c r="E1380" s="126"/>
      <c r="F1380" s="126"/>
      <c r="G1380" s="126"/>
      <c r="H1380" s="126">
        <v>10</v>
      </c>
      <c r="J1380" s="54" t="s">
        <v>627</v>
      </c>
      <c r="K1380" s="54">
        <f>SUM(C1396)</f>
        <v>760</v>
      </c>
      <c r="L1380" s="105">
        <f t="shared" si="17"/>
        <v>6080</v>
      </c>
    </row>
    <row r="1381" spans="1:12">
      <c r="A1381" s="342"/>
      <c r="B1381" s="342" t="s">
        <v>2364</v>
      </c>
      <c r="C1381" s="126"/>
      <c r="D1381" s="126"/>
      <c r="E1381" s="126"/>
      <c r="F1381" s="126"/>
      <c r="G1381" s="126"/>
      <c r="H1381" s="126"/>
      <c r="J1381" s="54" t="s">
        <v>629</v>
      </c>
      <c r="K1381" s="54"/>
      <c r="L1381" s="105">
        <f t="shared" si="17"/>
        <v>0</v>
      </c>
    </row>
    <row r="1382" spans="1:12">
      <c r="B1382" s="342" t="s">
        <v>2239</v>
      </c>
      <c r="C1382" s="126">
        <v>4200</v>
      </c>
      <c r="D1382" s="126"/>
      <c r="E1382" s="126"/>
      <c r="F1382" s="126"/>
      <c r="G1382" s="126"/>
      <c r="H1382" s="126">
        <v>8</v>
      </c>
      <c r="J1382" s="54" t="s">
        <v>631</v>
      </c>
      <c r="K1382" s="54">
        <f>SUM(C1376,C1377,D1377,C1389)</f>
        <v>25950.53</v>
      </c>
      <c r="L1382" s="105">
        <f t="shared" si="17"/>
        <v>136483.51</v>
      </c>
    </row>
    <row r="1383" spans="1:12">
      <c r="B1383" s="342" t="s">
        <v>2240</v>
      </c>
      <c r="C1383" s="126">
        <v>4200</v>
      </c>
      <c r="D1383" s="342"/>
      <c r="E1383" s="342"/>
      <c r="F1383" s="342"/>
      <c r="G1383" s="342"/>
      <c r="H1383" s="126">
        <v>8</v>
      </c>
      <c r="J1383" s="54" t="s">
        <v>634</v>
      </c>
      <c r="K1383" s="54">
        <f>SUM(C1368,C1370,C1371,C1372,C1378,C1379,C1382,C1383,C1384,C1386,C1393,C1394,F1398,F1399,C1403)</f>
        <v>48942.25</v>
      </c>
      <c r="L1383" s="105">
        <f t="shared" si="17"/>
        <v>338310.17</v>
      </c>
    </row>
    <row r="1384" spans="1:12">
      <c r="B1384" s="342" t="s">
        <v>2362</v>
      </c>
      <c r="C1384" s="126">
        <v>1204.5</v>
      </c>
      <c r="D1384" s="342"/>
      <c r="E1384" s="342"/>
      <c r="F1384" s="342"/>
      <c r="G1384" s="342"/>
      <c r="H1384" s="126">
        <v>8</v>
      </c>
      <c r="J1384" s="54" t="s">
        <v>636</v>
      </c>
      <c r="K1384" s="63">
        <f>SUM(C1373,C1385)</f>
        <v>3000</v>
      </c>
      <c r="L1384" s="105">
        <f t="shared" si="17"/>
        <v>32840.75</v>
      </c>
    </row>
    <row r="1385" spans="1:12">
      <c r="A1385" s="101">
        <v>46243</v>
      </c>
      <c r="B1385" s="342" t="s">
        <v>2365</v>
      </c>
      <c r="C1385" s="126">
        <v>1500</v>
      </c>
      <c r="D1385" s="342"/>
      <c r="E1385" s="342"/>
      <c r="F1385" s="342"/>
      <c r="G1385" s="342"/>
      <c r="H1385" s="126">
        <v>9</v>
      </c>
      <c r="I1385" s="342"/>
      <c r="J1385" s="54" t="s">
        <v>638</v>
      </c>
      <c r="K1385" s="398">
        <f>SUM(G1374,G1375,D1380,G1387,G1388,G1390,G1391,G1395,D1400,G1401,G1402)</f>
        <v>132592</v>
      </c>
      <c r="L1385" s="105">
        <f t="shared" si="17"/>
        <v>714932.82</v>
      </c>
    </row>
    <row r="1386" spans="1:12">
      <c r="A1386" s="101">
        <v>46244</v>
      </c>
      <c r="B1386" s="342" t="s">
        <v>2362</v>
      </c>
      <c r="C1386" s="126">
        <v>3101</v>
      </c>
      <c r="D1386" s="342"/>
      <c r="E1386" s="342"/>
      <c r="F1386" s="342"/>
      <c r="G1386" s="342"/>
      <c r="H1386" s="126">
        <v>8</v>
      </c>
      <c r="I1386" s="342"/>
      <c r="J1386" s="126"/>
      <c r="K1386" s="344">
        <f>SUM(K1373:K1385)</f>
        <v>234244.78</v>
      </c>
      <c r="L1386" s="165">
        <f>SUM(L1373:L1385)</f>
        <v>1454871.25</v>
      </c>
    </row>
    <row r="1387" spans="1:12">
      <c r="A1387" s="101">
        <v>46245</v>
      </c>
      <c r="B1387" s="342" t="s">
        <v>2366</v>
      </c>
      <c r="C1387" s="342"/>
      <c r="D1387" s="342"/>
      <c r="E1387" s="342"/>
      <c r="F1387" s="342"/>
      <c r="G1387" s="126">
        <v>5000</v>
      </c>
      <c r="H1387" s="126">
        <v>10</v>
      </c>
      <c r="I1387" s="342"/>
      <c r="J1387" s="126"/>
      <c r="K1387" s="387"/>
      <c r="L1387" s="165">
        <f>SUM(L1333,K1386)</f>
        <v>1454871.2500000002</v>
      </c>
    </row>
    <row r="1388" spans="1:12">
      <c r="A1388" s="101">
        <v>46246</v>
      </c>
      <c r="B1388" s="342" t="s">
        <v>2367</v>
      </c>
      <c r="C1388" s="342"/>
      <c r="D1388" s="342"/>
      <c r="E1388" s="342"/>
      <c r="F1388" s="342"/>
      <c r="G1388" s="126">
        <v>75000</v>
      </c>
      <c r="H1388" s="126">
        <v>10</v>
      </c>
      <c r="I1388" s="342"/>
    </row>
    <row r="1389" spans="1:12">
      <c r="A1389" s="342"/>
      <c r="B1389" s="342" t="s">
        <v>2368</v>
      </c>
      <c r="C1389" s="126">
        <v>735</v>
      </c>
      <c r="D1389" s="342"/>
      <c r="E1389" s="342"/>
      <c r="F1389" s="342"/>
      <c r="G1389" s="342"/>
      <c r="H1389" s="126">
        <v>7</v>
      </c>
      <c r="I1389" s="342"/>
    </row>
    <row r="1390" spans="1:12">
      <c r="A1390" s="101">
        <v>46248</v>
      </c>
      <c r="B1390" s="342" t="s">
        <v>2369</v>
      </c>
      <c r="C1390" s="342"/>
      <c r="D1390" s="342"/>
      <c r="E1390" s="342"/>
      <c r="F1390" s="342"/>
      <c r="G1390" s="126">
        <v>5000</v>
      </c>
      <c r="H1390" s="126">
        <v>10</v>
      </c>
      <c r="I1390" s="342"/>
    </row>
    <row r="1391" spans="1:12">
      <c r="A1391" s="342"/>
      <c r="B1391" s="342" t="s">
        <v>2249</v>
      </c>
      <c r="C1391" s="342"/>
      <c r="D1391" s="342"/>
      <c r="E1391" s="342"/>
      <c r="F1391" s="342"/>
      <c r="G1391" s="126">
        <v>1750</v>
      </c>
      <c r="H1391" s="126">
        <v>10</v>
      </c>
      <c r="I1391" s="342"/>
    </row>
    <row r="1392" spans="1:12">
      <c r="A1392" s="101">
        <v>46249</v>
      </c>
      <c r="B1392" s="342" t="s">
        <v>2370</v>
      </c>
      <c r="C1392" s="342"/>
      <c r="D1392" s="342"/>
      <c r="E1392" s="342"/>
      <c r="F1392" s="342"/>
      <c r="G1392" s="342"/>
      <c r="H1392" s="126"/>
      <c r="I1392" s="342"/>
      <c r="K1392" s="71"/>
    </row>
    <row r="1393" spans="1:9">
      <c r="A1393" s="342"/>
      <c r="B1393" s="342" t="s">
        <v>2239</v>
      </c>
      <c r="C1393" s="126">
        <v>3500</v>
      </c>
      <c r="D1393" s="342"/>
      <c r="E1393" s="342"/>
      <c r="F1393" s="342"/>
      <c r="G1393" s="342"/>
      <c r="H1393" s="126">
        <v>8</v>
      </c>
      <c r="I1393" s="342"/>
    </row>
    <row r="1394" spans="1:9">
      <c r="A1394" s="342"/>
      <c r="B1394" s="342" t="s">
        <v>2240</v>
      </c>
      <c r="C1394" s="126">
        <v>3500</v>
      </c>
      <c r="D1394" s="342"/>
      <c r="E1394" s="342"/>
      <c r="F1394" s="342"/>
      <c r="G1394" s="342"/>
      <c r="H1394" s="126">
        <v>8</v>
      </c>
      <c r="I1394" s="342"/>
    </row>
    <row r="1395" spans="1:9">
      <c r="A1395" s="101">
        <v>46252</v>
      </c>
      <c r="B1395" s="342" t="s">
        <v>2235</v>
      </c>
      <c r="C1395" s="342"/>
      <c r="D1395" s="342"/>
      <c r="E1395" s="342"/>
      <c r="F1395" s="342"/>
      <c r="G1395" s="126">
        <v>889</v>
      </c>
      <c r="H1395" s="126">
        <v>10</v>
      </c>
      <c r="I1395" s="342"/>
    </row>
    <row r="1396" spans="1:9">
      <c r="A1396" s="101">
        <v>46254</v>
      </c>
      <c r="B1396" s="342" t="s">
        <v>2371</v>
      </c>
      <c r="C1396" s="126">
        <v>760</v>
      </c>
      <c r="D1396" s="342"/>
      <c r="E1396" s="342"/>
      <c r="F1396" s="342"/>
      <c r="G1396" s="342"/>
      <c r="H1396" s="126" t="s">
        <v>648</v>
      </c>
      <c r="I1396" s="342"/>
    </row>
    <row r="1397" spans="1:9">
      <c r="A1397" s="101">
        <v>46256</v>
      </c>
      <c r="B1397" s="342" t="s">
        <v>2372</v>
      </c>
      <c r="C1397" s="342"/>
      <c r="D1397" s="342"/>
      <c r="E1397" s="342"/>
      <c r="F1397" s="342"/>
      <c r="G1397" s="342"/>
      <c r="H1397" s="126"/>
      <c r="I1397" s="342"/>
    </row>
    <row r="1398" spans="1:9">
      <c r="A1398" s="342"/>
      <c r="B1398" s="342" t="s">
        <v>2239</v>
      </c>
      <c r="C1398" s="342"/>
      <c r="D1398" s="342"/>
      <c r="E1398" s="342"/>
      <c r="F1398" s="126">
        <v>3500</v>
      </c>
      <c r="G1398" s="342"/>
      <c r="H1398" s="126">
        <v>8</v>
      </c>
      <c r="I1398" s="342"/>
    </row>
    <row r="1399" spans="1:9">
      <c r="A1399" s="342"/>
      <c r="B1399" s="342" t="s">
        <v>2240</v>
      </c>
      <c r="C1399" s="342"/>
      <c r="D1399" s="342"/>
      <c r="E1399" s="342"/>
      <c r="F1399" s="126">
        <v>3500</v>
      </c>
      <c r="G1399" s="342"/>
      <c r="H1399" s="126">
        <v>8</v>
      </c>
      <c r="I1399" s="342"/>
    </row>
    <row r="1400" spans="1:9">
      <c r="A1400" s="342"/>
      <c r="B1400" s="342" t="s">
        <v>2373</v>
      </c>
      <c r="C1400" s="342"/>
      <c r="D1400" s="126">
        <v>2335</v>
      </c>
      <c r="E1400" s="342"/>
      <c r="F1400" s="342"/>
      <c r="G1400" s="342"/>
      <c r="H1400" s="126">
        <v>10</v>
      </c>
      <c r="I1400" s="342"/>
    </row>
    <row r="1401" spans="1:9">
      <c r="A1401" s="101">
        <v>46261</v>
      </c>
      <c r="B1401" s="342" t="s">
        <v>2374</v>
      </c>
      <c r="C1401" s="342"/>
      <c r="D1401" s="342"/>
      <c r="E1401" s="342"/>
      <c r="F1401" s="342"/>
      <c r="G1401" s="126">
        <v>20000</v>
      </c>
      <c r="H1401" s="126">
        <v>10</v>
      </c>
      <c r="I1401" s="342"/>
    </row>
    <row r="1402" spans="1:9">
      <c r="A1402" s="342"/>
      <c r="B1402" s="342" t="s">
        <v>2375</v>
      </c>
      <c r="C1402" s="342"/>
      <c r="D1402" s="342"/>
      <c r="E1402" s="342"/>
      <c r="F1402" s="342"/>
      <c r="G1402" s="126">
        <v>20000</v>
      </c>
      <c r="H1402" s="126">
        <v>10</v>
      </c>
      <c r="I1402" s="342"/>
    </row>
    <row r="1403" spans="1:9">
      <c r="A1403" s="101">
        <v>46262</v>
      </c>
      <c r="B1403" s="342" t="s">
        <v>1690</v>
      </c>
      <c r="C1403" s="126">
        <v>1854</v>
      </c>
      <c r="D1403" s="342"/>
      <c r="E1403" s="342"/>
      <c r="F1403" s="342"/>
      <c r="G1403" s="342"/>
      <c r="H1403" s="126">
        <v>8</v>
      </c>
      <c r="I1403" s="342"/>
    </row>
    <row r="1404" spans="1:9">
      <c r="A1404" s="101">
        <v>46265</v>
      </c>
      <c r="B1404" s="342" t="s">
        <v>2376</v>
      </c>
      <c r="C1404" s="17">
        <v>10000</v>
      </c>
      <c r="D1404" s="23">
        <v>6500</v>
      </c>
      <c r="E1404" s="342"/>
      <c r="F1404" s="342"/>
      <c r="G1404" s="342"/>
      <c r="H1404" s="126">
        <v>6</v>
      </c>
      <c r="I1404" s="342"/>
    </row>
    <row r="1405" spans="1:9">
      <c r="A1405" s="342"/>
      <c r="B1405" s="342" t="s">
        <v>749</v>
      </c>
      <c r="C1405" s="126">
        <v>6500</v>
      </c>
      <c r="E1405" s="342"/>
      <c r="F1405" s="342"/>
      <c r="G1405" s="342"/>
      <c r="H1405" s="126">
        <v>3</v>
      </c>
      <c r="I1405" s="342"/>
    </row>
    <row r="1406" spans="1:9">
      <c r="A1406" s="158" t="s">
        <v>2377</v>
      </c>
      <c r="B1406" s="158" t="s">
        <v>2378</v>
      </c>
      <c r="C1406" s="158">
        <f>SUM(C1368:C1405)</f>
        <v>80075.929999999993</v>
      </c>
      <c r="D1406" s="158">
        <f>SUM(D1368:D1405)</f>
        <v>18010.849999999999</v>
      </c>
      <c r="E1406" s="158"/>
      <c r="F1406" s="158">
        <f>SUM(F1368:F1405)</f>
        <v>7000</v>
      </c>
      <c r="G1406" s="158">
        <f>SUM(G1368:G1405)</f>
        <v>129158</v>
      </c>
      <c r="H1406" s="158"/>
      <c r="I1406" s="158">
        <f>SUM(C1406:G1406)</f>
        <v>234244.78</v>
      </c>
    </row>
    <row r="1407" spans="1:9">
      <c r="A1407" s="342"/>
      <c r="B1407" s="342"/>
      <c r="C1407" s="342"/>
      <c r="D1407" s="342"/>
      <c r="E1407" s="342"/>
      <c r="F1407" s="342"/>
      <c r="G1407" s="342"/>
      <c r="H1407" s="126"/>
      <c r="I1407" s="342"/>
    </row>
    <row r="1408" spans="1:9">
      <c r="A1408" s="342"/>
      <c r="B1408" s="342"/>
      <c r="C1408" s="342"/>
      <c r="D1408" s="342"/>
      <c r="E1408" s="342"/>
      <c r="F1408" s="342"/>
      <c r="G1408" s="342"/>
      <c r="H1408" s="342"/>
      <c r="I1408" s="342"/>
    </row>
    <row r="1409" spans="1:9">
      <c r="A1409" s="342"/>
      <c r="B1409" s="342"/>
      <c r="C1409" s="342"/>
      <c r="D1409" s="342"/>
      <c r="E1409" s="342"/>
      <c r="F1409" s="342"/>
      <c r="G1409" s="342"/>
      <c r="H1409" s="342"/>
      <c r="I1409" s="342"/>
    </row>
    <row r="1410" spans="1:9">
      <c r="A1410" s="342"/>
      <c r="B1410" s="342"/>
      <c r="C1410" s="342"/>
      <c r="D1410" s="342"/>
      <c r="E1410" s="342"/>
      <c r="F1410" s="342"/>
      <c r="G1410" s="342"/>
      <c r="H1410" s="342"/>
      <c r="I1410" s="342"/>
    </row>
    <row r="1411" spans="1:9">
      <c r="A1411" s="342"/>
      <c r="B1411" s="342"/>
      <c r="C1411" s="342"/>
      <c r="D1411" s="342"/>
      <c r="E1411" s="342"/>
      <c r="F1411" s="342"/>
      <c r="G1411" s="342"/>
      <c r="H1411" s="342"/>
      <c r="I1411" s="342"/>
    </row>
    <row r="1412" spans="1:9">
      <c r="A1412" s="342"/>
      <c r="B1412" s="342"/>
      <c r="C1412" s="342"/>
      <c r="D1412" s="342"/>
      <c r="E1412" s="342"/>
      <c r="F1412" s="342"/>
      <c r="G1412" s="342"/>
      <c r="H1412" s="342"/>
      <c r="I1412" s="342"/>
    </row>
    <row r="1413" spans="1:9">
      <c r="A1413" s="342"/>
      <c r="B1413" s="342"/>
      <c r="C1413" s="342"/>
      <c r="D1413" s="342"/>
      <c r="E1413" s="342"/>
      <c r="F1413" s="342"/>
      <c r="G1413" s="342"/>
      <c r="H1413" s="342"/>
      <c r="I1413" s="342"/>
    </row>
    <row r="1414" spans="1:9">
      <c r="A1414" s="342"/>
      <c r="B1414" s="342"/>
      <c r="C1414" s="342"/>
      <c r="D1414" s="342"/>
      <c r="E1414" s="342"/>
      <c r="F1414" s="342"/>
      <c r="G1414" s="342"/>
      <c r="H1414" s="342"/>
      <c r="I1414" s="342"/>
    </row>
    <row r="1415" spans="1:9">
      <c r="A1415" s="342"/>
      <c r="B1415" s="342"/>
      <c r="C1415" s="342"/>
      <c r="D1415" s="342"/>
      <c r="E1415" s="342"/>
      <c r="F1415" s="342"/>
      <c r="G1415" s="342"/>
      <c r="H1415" s="342"/>
      <c r="I1415" s="342"/>
    </row>
    <row r="1416" spans="1:9">
      <c r="A1416" s="342"/>
      <c r="B1416" s="342"/>
      <c r="C1416" s="342"/>
      <c r="D1416" s="342"/>
      <c r="E1416" s="342"/>
      <c r="F1416" s="342"/>
      <c r="G1416" s="342"/>
      <c r="H1416" s="342"/>
      <c r="I1416" s="342"/>
    </row>
    <row r="1417" spans="1:9">
      <c r="A1417" s="342"/>
      <c r="B1417" s="342"/>
      <c r="C1417" s="342"/>
      <c r="D1417" s="342"/>
      <c r="E1417" s="342"/>
      <c r="F1417" s="342"/>
      <c r="G1417" s="342"/>
      <c r="H1417" s="342"/>
      <c r="I1417" s="342"/>
    </row>
    <row r="1418" spans="1:9">
      <c r="A1418" s="342"/>
      <c r="B1418" s="342"/>
      <c r="C1418" s="342"/>
      <c r="D1418" s="342"/>
      <c r="E1418" s="342"/>
      <c r="F1418" s="342"/>
      <c r="G1418" s="342"/>
      <c r="H1418" s="342"/>
      <c r="I1418" s="342"/>
    </row>
    <row r="1419" spans="1:9">
      <c r="A1419" s="342"/>
      <c r="B1419" s="342"/>
      <c r="C1419" s="342"/>
      <c r="D1419" s="342"/>
      <c r="E1419" s="342"/>
      <c r="F1419" s="342"/>
      <c r="G1419" s="342"/>
      <c r="H1419" s="342"/>
      <c r="I1419" s="342"/>
    </row>
    <row r="1420" spans="1:9">
      <c r="A1420" s="342"/>
      <c r="B1420" s="342"/>
      <c r="C1420" s="342"/>
      <c r="D1420" s="342"/>
      <c r="E1420" s="342"/>
      <c r="F1420" s="342"/>
      <c r="G1420" s="342"/>
      <c r="H1420" s="342"/>
      <c r="I1420" s="342"/>
    </row>
    <row r="1421" spans="1:9">
      <c r="A1421" s="342"/>
      <c r="B1421" s="342"/>
      <c r="C1421" s="342"/>
      <c r="D1421" s="342"/>
      <c r="E1421" s="342"/>
      <c r="F1421" s="342"/>
      <c r="G1421" s="342"/>
      <c r="H1421" s="342"/>
      <c r="I1421" s="342"/>
    </row>
    <row r="1422" spans="1:9">
      <c r="A1422" s="342"/>
      <c r="B1422" s="342"/>
      <c r="C1422" s="342"/>
      <c r="D1422" s="342"/>
      <c r="E1422" s="342"/>
      <c r="F1422" s="342"/>
      <c r="G1422" s="342"/>
      <c r="H1422" s="342"/>
      <c r="I1422" s="342"/>
    </row>
    <row r="1423" spans="1:9">
      <c r="A1423" s="342"/>
      <c r="B1423" s="342"/>
      <c r="C1423" s="342"/>
      <c r="D1423" s="342"/>
      <c r="E1423" s="342"/>
      <c r="F1423" s="342"/>
      <c r="G1423" s="342"/>
      <c r="H1423" s="342"/>
      <c r="I1423" s="342"/>
    </row>
    <row r="1424" spans="1:9">
      <c r="A1424" s="342"/>
      <c r="B1424" s="342"/>
      <c r="C1424" s="342"/>
      <c r="D1424" s="342"/>
      <c r="E1424" s="342"/>
      <c r="F1424" s="342"/>
      <c r="G1424" s="342"/>
      <c r="H1424" s="342"/>
      <c r="I1424" s="342"/>
    </row>
    <row r="1425" spans="1:9">
      <c r="A1425" s="342"/>
      <c r="B1425" s="342"/>
      <c r="C1425" s="342"/>
      <c r="D1425" s="342"/>
      <c r="E1425" s="342"/>
      <c r="F1425" s="342"/>
      <c r="G1425" s="342"/>
      <c r="H1425" s="342"/>
      <c r="I1425" s="342"/>
    </row>
    <row r="1426" spans="1:9">
      <c r="A1426" s="342"/>
      <c r="B1426" s="342"/>
      <c r="C1426" s="342"/>
      <c r="D1426" s="342"/>
      <c r="E1426" s="342"/>
      <c r="F1426" s="342"/>
      <c r="G1426" s="342"/>
      <c r="H1426" s="342"/>
      <c r="I1426" s="342"/>
    </row>
    <row r="1427" spans="1:9">
      <c r="A1427" s="342"/>
      <c r="B1427" s="342"/>
      <c r="C1427" s="342"/>
      <c r="D1427" s="342"/>
      <c r="E1427" s="342"/>
      <c r="F1427" s="342"/>
      <c r="G1427" s="342"/>
      <c r="H1427" s="342"/>
      <c r="I1427" s="342"/>
    </row>
    <row r="1428" spans="1:9">
      <c r="A1428" s="342"/>
      <c r="B1428" s="342"/>
      <c r="C1428" s="342"/>
      <c r="D1428" s="342"/>
      <c r="E1428" s="342"/>
      <c r="F1428" s="342"/>
      <c r="G1428" s="342"/>
      <c r="H1428" s="342"/>
      <c r="I1428" s="342"/>
    </row>
    <row r="1429" spans="1:9">
      <c r="A1429" s="342"/>
      <c r="B1429" s="342"/>
      <c r="C1429" s="342"/>
      <c r="D1429" s="342"/>
      <c r="E1429" s="342"/>
      <c r="F1429" s="342"/>
      <c r="G1429" s="342"/>
      <c r="H1429" s="342"/>
      <c r="I1429" s="342"/>
    </row>
    <row r="1430" spans="1:9">
      <c r="A1430" s="342"/>
      <c r="B1430" s="342"/>
      <c r="C1430" s="342"/>
      <c r="D1430" s="342"/>
      <c r="E1430" s="342"/>
      <c r="F1430" s="342"/>
      <c r="G1430" s="342"/>
      <c r="H1430" s="342"/>
      <c r="I1430" s="342"/>
    </row>
    <row r="1431" spans="1:9">
      <c r="A1431" s="342"/>
      <c r="B1431" s="342"/>
      <c r="C1431" s="342"/>
      <c r="D1431" s="342"/>
      <c r="E1431" s="342"/>
      <c r="F1431" s="342"/>
      <c r="G1431" s="342"/>
      <c r="H1431" s="342"/>
      <c r="I1431" s="342"/>
    </row>
    <row r="1432" spans="1:9">
      <c r="A1432" s="342"/>
      <c r="B1432" s="342"/>
      <c r="C1432" s="342"/>
      <c r="D1432" s="342"/>
      <c r="E1432" s="342"/>
      <c r="F1432" s="342"/>
      <c r="G1432" s="342"/>
      <c r="H1432" s="342"/>
      <c r="I1432" s="342"/>
    </row>
    <row r="1433" spans="1:9">
      <c r="A1433" s="342"/>
      <c r="B1433" s="342"/>
      <c r="C1433" s="342"/>
      <c r="D1433" s="342"/>
      <c r="E1433" s="342"/>
      <c r="F1433" s="342"/>
      <c r="G1433" s="342"/>
      <c r="H1433" s="342"/>
      <c r="I1433" s="342"/>
    </row>
    <row r="1434" spans="1:9">
      <c r="A1434" s="342"/>
      <c r="B1434" s="342"/>
      <c r="C1434" s="342"/>
      <c r="D1434" s="342"/>
      <c r="E1434" s="342"/>
      <c r="F1434" s="342"/>
      <c r="G1434" s="342"/>
      <c r="H1434" s="342"/>
      <c r="I1434" s="342"/>
    </row>
    <row r="1435" spans="1:9">
      <c r="A1435" s="342"/>
      <c r="B1435" s="342"/>
      <c r="C1435" s="342"/>
      <c r="D1435" s="342"/>
      <c r="E1435" s="342"/>
      <c r="F1435" s="342"/>
      <c r="G1435" s="342"/>
      <c r="H1435" s="342"/>
      <c r="I1435" s="342"/>
    </row>
    <row r="1436" spans="1:9">
      <c r="A1436" s="342"/>
      <c r="B1436" s="342"/>
      <c r="C1436" s="342"/>
      <c r="D1436" s="342"/>
      <c r="E1436" s="342"/>
      <c r="F1436" s="342"/>
      <c r="G1436" s="342"/>
      <c r="H1436" s="342"/>
      <c r="I1436" s="342"/>
    </row>
    <row r="1437" spans="1:9">
      <c r="A1437" s="342"/>
      <c r="B1437" s="342"/>
      <c r="C1437" s="342"/>
      <c r="D1437" s="342"/>
      <c r="E1437" s="342"/>
      <c r="F1437" s="342"/>
      <c r="G1437" s="342"/>
      <c r="H1437" s="342"/>
      <c r="I1437" s="342"/>
    </row>
    <row r="1438" spans="1:9">
      <c r="A1438" s="342"/>
      <c r="B1438" s="342"/>
      <c r="C1438" s="342"/>
      <c r="D1438" s="342"/>
      <c r="E1438" s="342"/>
      <c r="F1438" s="342"/>
      <c r="G1438" s="342"/>
      <c r="H1438" s="342"/>
      <c r="I1438" s="342"/>
    </row>
    <row r="1439" spans="1:9">
      <c r="A1439" s="342"/>
      <c r="B1439" s="342"/>
      <c r="C1439" s="342"/>
      <c r="D1439" s="342"/>
      <c r="E1439" s="342"/>
      <c r="F1439" s="342"/>
      <c r="G1439" s="342"/>
      <c r="H1439" s="342"/>
      <c r="I1439" s="342"/>
    </row>
    <row r="1440" spans="1:9">
      <c r="A1440" s="342"/>
      <c r="B1440" s="342"/>
      <c r="C1440" s="342"/>
      <c r="D1440" s="342"/>
      <c r="E1440" s="342"/>
      <c r="F1440" s="342"/>
      <c r="G1440" s="342"/>
      <c r="H1440" s="342"/>
      <c r="I1440" s="342"/>
    </row>
    <row r="1441" spans="1:9">
      <c r="A1441" s="342"/>
      <c r="B1441" s="342"/>
      <c r="C1441" s="342"/>
      <c r="D1441" s="342"/>
      <c r="E1441" s="342"/>
      <c r="F1441" s="342"/>
      <c r="G1441" s="342"/>
      <c r="H1441" s="342"/>
      <c r="I1441" s="342"/>
    </row>
    <row r="1442" spans="1:9">
      <c r="A1442" s="342"/>
      <c r="B1442" s="342"/>
      <c r="C1442" s="342"/>
      <c r="D1442" s="342"/>
      <c r="E1442" s="342"/>
      <c r="F1442" s="342"/>
      <c r="G1442" s="342"/>
      <c r="H1442" s="342"/>
      <c r="I1442" s="342"/>
    </row>
    <row r="1443" spans="1:9">
      <c r="A1443" s="342"/>
      <c r="B1443" s="342"/>
      <c r="C1443" s="342"/>
      <c r="D1443" s="342"/>
      <c r="E1443" s="342"/>
      <c r="F1443" s="342"/>
      <c r="G1443" s="342"/>
      <c r="H1443" s="342"/>
      <c r="I1443" s="342"/>
    </row>
    <row r="1444" spans="1:9">
      <c r="A1444" s="342"/>
      <c r="B1444" s="342"/>
      <c r="C1444" s="342"/>
      <c r="D1444" s="342"/>
      <c r="E1444" s="342"/>
      <c r="F1444" s="342"/>
      <c r="G1444" s="342"/>
      <c r="H1444" s="342"/>
      <c r="I1444" s="342"/>
    </row>
    <row r="1445" spans="1:9">
      <c r="A1445" s="342"/>
      <c r="B1445" s="342"/>
      <c r="C1445" s="342"/>
      <c r="D1445" s="342"/>
      <c r="E1445" s="342"/>
      <c r="F1445" s="342"/>
      <c r="G1445" s="342"/>
      <c r="H1445" s="342"/>
      <c r="I1445" s="342"/>
    </row>
  </sheetData>
  <pageMargins left="0.70866141732283505" right="0.70866141732283505" top="0.74803149606299202" bottom="0.74803149606299202" header="0.31496062992126" footer="0.31496062992126"/>
  <pageSetup paperSize="9" orientation="landscape"/>
  <headerFooter>
    <oddHeader>&amp;CFe Galang-DaSilva Boarding House
Listing of Income and Expenses</oddHead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A641-7D94-47FB-8427-A58ED4E94BF7}">
  <dimension ref="A1:D63"/>
  <sheetViews>
    <sheetView topLeftCell="A31" workbookViewId="0">
      <selection activeCell="C63" sqref="C63"/>
    </sheetView>
  </sheetViews>
  <sheetFormatPr defaultRowHeight="15"/>
  <cols>
    <col min="1" max="1" width="11.140625" customWidth="1"/>
    <col min="2" max="2" width="15.28515625" customWidth="1"/>
    <col min="3" max="3" width="18.85546875" customWidth="1"/>
  </cols>
  <sheetData>
    <row r="1" spans="1:4">
      <c r="A1" s="382" t="s">
        <v>1872</v>
      </c>
    </row>
    <row r="2" spans="1:4">
      <c r="A2" s="382" t="s">
        <v>1873</v>
      </c>
    </row>
    <row r="3" spans="1:4">
      <c r="A3" s="382" t="s">
        <v>1874</v>
      </c>
    </row>
    <row r="4" spans="1:4">
      <c r="A4" s="382"/>
    </row>
    <row r="5" spans="1:4">
      <c r="A5" s="382" t="s">
        <v>1877</v>
      </c>
      <c r="B5" s="382" t="s">
        <v>1875</v>
      </c>
      <c r="C5" s="382" t="s">
        <v>1876</v>
      </c>
    </row>
    <row r="6" spans="1:4">
      <c r="C6" s="352">
        <v>50000</v>
      </c>
      <c r="D6" s="352"/>
    </row>
    <row r="7" spans="1:4">
      <c r="A7" s="385">
        <v>46025</v>
      </c>
      <c r="B7" s="352">
        <v>-16500</v>
      </c>
      <c r="C7" s="71">
        <f t="shared" ref="C7:C12" si="0">SUM(C6,B7)</f>
        <v>33500</v>
      </c>
    </row>
    <row r="8" spans="1:4">
      <c r="A8" s="385">
        <v>46053</v>
      </c>
      <c r="B8" s="352">
        <v>-5000</v>
      </c>
      <c r="C8" s="71">
        <f t="shared" si="0"/>
        <v>28500</v>
      </c>
    </row>
    <row r="9" spans="1:4">
      <c r="A9" s="385">
        <v>46081</v>
      </c>
      <c r="B9" s="352">
        <v>-5000</v>
      </c>
      <c r="C9" s="71">
        <f t="shared" si="0"/>
        <v>23500</v>
      </c>
    </row>
    <row r="10" spans="1:4">
      <c r="A10" s="385">
        <v>46112</v>
      </c>
      <c r="B10" s="352">
        <v>-5000</v>
      </c>
      <c r="C10" s="71">
        <f t="shared" si="0"/>
        <v>18500</v>
      </c>
    </row>
    <row r="11" spans="1:4">
      <c r="A11" s="393">
        <v>46142</v>
      </c>
      <c r="B11" s="352">
        <v>-5000</v>
      </c>
      <c r="C11" s="71">
        <f t="shared" si="0"/>
        <v>13500</v>
      </c>
    </row>
    <row r="12" spans="1:4">
      <c r="A12" s="385">
        <v>46173</v>
      </c>
      <c r="B12" s="352">
        <v>-5000</v>
      </c>
      <c r="C12" s="71">
        <f t="shared" si="0"/>
        <v>8500</v>
      </c>
    </row>
    <row r="13" spans="1:4">
      <c r="A13" s="385">
        <v>46203</v>
      </c>
      <c r="B13" s="352">
        <v>-5000</v>
      </c>
      <c r="C13" s="71">
        <f>SUM(C12,B13)</f>
        <v>3500</v>
      </c>
    </row>
    <row r="14" spans="1:4">
      <c r="A14" s="385">
        <v>46234</v>
      </c>
      <c r="B14" s="352">
        <v>-3500</v>
      </c>
      <c r="C14" s="71">
        <f>SUM(C13,B14)</f>
        <v>0</v>
      </c>
    </row>
    <row r="15" spans="1:4">
      <c r="B15" s="395" t="s">
        <v>2262</v>
      </c>
    </row>
    <row r="20" spans="1:3">
      <c r="A20" s="382" t="s">
        <v>1878</v>
      </c>
    </row>
    <row r="21" spans="1:3">
      <c r="A21" s="382" t="s">
        <v>1879</v>
      </c>
      <c r="C21" s="382" t="s">
        <v>1882</v>
      </c>
    </row>
    <row r="22" spans="1:3">
      <c r="A22" s="382" t="s">
        <v>1880</v>
      </c>
      <c r="B22" s="382" t="s">
        <v>1881</v>
      </c>
      <c r="C22" s="382" t="s">
        <v>1880</v>
      </c>
    </row>
    <row r="23" spans="1:3">
      <c r="A23" s="385">
        <v>45969</v>
      </c>
      <c r="B23" s="352">
        <v>20000</v>
      </c>
      <c r="C23" s="71">
        <f>SUM(B23)</f>
        <v>20000</v>
      </c>
    </row>
    <row r="24" spans="1:3">
      <c r="A24" s="385">
        <v>46020</v>
      </c>
      <c r="B24" s="352">
        <v>10000</v>
      </c>
      <c r="C24" s="71">
        <f>SUM(C23,B24)</f>
        <v>30000</v>
      </c>
    </row>
    <row r="25" spans="1:3">
      <c r="A25" s="385">
        <v>46037</v>
      </c>
      <c r="B25" s="352">
        <v>20000</v>
      </c>
      <c r="C25" s="71">
        <f>SUM(C24,B25)</f>
        <v>50000</v>
      </c>
    </row>
    <row r="26" spans="1:3">
      <c r="A26" s="385">
        <v>46042</v>
      </c>
      <c r="B26" s="352">
        <v>10000</v>
      </c>
      <c r="C26" s="71">
        <f>SUM(C25,B26)</f>
        <v>60000</v>
      </c>
    </row>
    <row r="27" spans="1:3">
      <c r="A27" s="385">
        <v>46055</v>
      </c>
      <c r="B27" s="352">
        <v>10000</v>
      </c>
      <c r="C27" s="71">
        <f>SUM(C26,B27)</f>
        <v>70000</v>
      </c>
    </row>
    <row r="29" spans="1:3">
      <c r="B29" s="382" t="s">
        <v>750</v>
      </c>
      <c r="C29" s="71">
        <v>70000</v>
      </c>
    </row>
    <row r="31" spans="1:3">
      <c r="A31" t="s">
        <v>1883</v>
      </c>
    </row>
    <row r="32" spans="1:3">
      <c r="A32" s="382" t="s">
        <v>1877</v>
      </c>
      <c r="B32" s="382" t="s">
        <v>1875</v>
      </c>
      <c r="C32" s="382" t="s">
        <v>1876</v>
      </c>
    </row>
    <row r="33" spans="1:3">
      <c r="C33" s="352">
        <v>70000</v>
      </c>
    </row>
    <row r="34" spans="1:3">
      <c r="A34" s="385">
        <v>46060</v>
      </c>
      <c r="B34" s="352">
        <v>-1500</v>
      </c>
      <c r="C34" s="71">
        <f>SUM(C33,B34)</f>
        <v>68500</v>
      </c>
    </row>
    <row r="35" spans="1:3">
      <c r="A35" s="385">
        <v>46067</v>
      </c>
      <c r="B35" s="352">
        <v>-1500</v>
      </c>
      <c r="C35" s="71">
        <f t="shared" ref="C35:C38" si="1">SUM(C34,B35)</f>
        <v>67000</v>
      </c>
    </row>
    <row r="36" spans="1:3">
      <c r="A36" s="385">
        <v>46074</v>
      </c>
      <c r="B36" s="352">
        <v>-1500</v>
      </c>
      <c r="C36" s="71">
        <f t="shared" si="1"/>
        <v>65500</v>
      </c>
    </row>
    <row r="37" spans="1:3">
      <c r="A37" s="385">
        <v>46081</v>
      </c>
      <c r="B37" s="352">
        <v>-1500</v>
      </c>
      <c r="C37" s="71">
        <f t="shared" si="1"/>
        <v>64000</v>
      </c>
    </row>
    <row r="38" spans="1:3">
      <c r="A38" s="385">
        <v>46088</v>
      </c>
      <c r="B38" s="352">
        <v>-1500</v>
      </c>
      <c r="C38" s="71">
        <f t="shared" si="1"/>
        <v>62500</v>
      </c>
    </row>
    <row r="39" spans="1:3">
      <c r="A39" s="385">
        <v>46095</v>
      </c>
      <c r="B39" s="352">
        <v>-1500</v>
      </c>
      <c r="C39" s="71">
        <f t="shared" ref="C39:C50" si="2">SUM(C38,B39)</f>
        <v>61000</v>
      </c>
    </row>
    <row r="40" spans="1:3">
      <c r="A40" s="388" t="s">
        <v>1959</v>
      </c>
      <c r="B40" s="352">
        <v>-1500</v>
      </c>
      <c r="C40" s="71">
        <f t="shared" si="2"/>
        <v>59500</v>
      </c>
    </row>
    <row r="41" spans="1:3">
      <c r="A41" s="385">
        <v>46109</v>
      </c>
      <c r="B41" s="352">
        <v>-1500</v>
      </c>
      <c r="C41" s="71">
        <f t="shared" si="2"/>
        <v>58000</v>
      </c>
    </row>
    <row r="42" spans="1:3">
      <c r="A42" s="385">
        <v>46116</v>
      </c>
      <c r="B42" s="352">
        <v>-1500</v>
      </c>
      <c r="C42" s="71">
        <f t="shared" si="2"/>
        <v>56500</v>
      </c>
    </row>
    <row r="43" spans="1:3">
      <c r="A43" s="385">
        <v>46123</v>
      </c>
      <c r="B43" s="352">
        <v>-1500</v>
      </c>
      <c r="C43" s="71">
        <f t="shared" si="2"/>
        <v>55000</v>
      </c>
    </row>
    <row r="44" spans="1:3">
      <c r="A44" s="385">
        <v>46130</v>
      </c>
      <c r="B44" s="352">
        <v>-1500</v>
      </c>
      <c r="C44" s="71">
        <f t="shared" si="2"/>
        <v>53500</v>
      </c>
    </row>
    <row r="45" spans="1:3">
      <c r="A45" s="385">
        <v>46137</v>
      </c>
      <c r="B45" s="352">
        <v>-1500</v>
      </c>
      <c r="C45" s="71">
        <f t="shared" si="2"/>
        <v>52000</v>
      </c>
    </row>
    <row r="46" spans="1:3">
      <c r="A46" s="385">
        <v>46144</v>
      </c>
      <c r="B46" s="352">
        <v>-1500</v>
      </c>
      <c r="C46" s="71">
        <f t="shared" si="2"/>
        <v>50500</v>
      </c>
    </row>
    <row r="47" spans="1:3">
      <c r="A47" s="385">
        <v>46151</v>
      </c>
      <c r="B47" s="352">
        <v>-1500</v>
      </c>
      <c r="C47" s="71">
        <f t="shared" si="2"/>
        <v>49000</v>
      </c>
    </row>
    <row r="48" spans="1:3">
      <c r="A48" s="385">
        <v>46158</v>
      </c>
      <c r="B48" s="352">
        <v>-1500</v>
      </c>
      <c r="C48" s="71">
        <f t="shared" si="2"/>
        <v>47500</v>
      </c>
    </row>
    <row r="49" spans="1:3">
      <c r="A49" s="385">
        <v>46165</v>
      </c>
      <c r="B49" s="352">
        <v>-1500</v>
      </c>
      <c r="C49" s="71">
        <f t="shared" si="2"/>
        <v>46000</v>
      </c>
    </row>
    <row r="50" spans="1:3">
      <c r="A50" s="385">
        <v>46172</v>
      </c>
      <c r="B50" s="352">
        <v>-1500</v>
      </c>
      <c r="C50" s="71">
        <f t="shared" si="2"/>
        <v>44500</v>
      </c>
    </row>
    <row r="51" spans="1:3">
      <c r="A51" s="385">
        <v>46179</v>
      </c>
      <c r="B51" s="352">
        <v>-1500</v>
      </c>
      <c r="C51" s="71">
        <f>SUM(C50,B51)</f>
        <v>43000</v>
      </c>
    </row>
    <row r="52" spans="1:3">
      <c r="A52" s="385">
        <v>46186</v>
      </c>
      <c r="B52" s="352">
        <v>-1500</v>
      </c>
      <c r="C52" s="71">
        <f>SUM(C51,B52)</f>
        <v>41500</v>
      </c>
    </row>
    <row r="53" spans="1:3">
      <c r="A53" s="385">
        <v>46193</v>
      </c>
      <c r="B53" s="352">
        <v>-1500</v>
      </c>
      <c r="C53" s="71">
        <f>SUM(C52,B53)</f>
        <v>40000</v>
      </c>
    </row>
    <row r="54" spans="1:3">
      <c r="A54" s="385">
        <v>46200</v>
      </c>
      <c r="B54" s="352">
        <v>-1500</v>
      </c>
      <c r="C54" s="71">
        <f>SUM(C53,B54)</f>
        <v>38500</v>
      </c>
    </row>
    <row r="55" spans="1:3">
      <c r="A55" s="395" t="s">
        <v>2263</v>
      </c>
      <c r="B55" s="352">
        <v>-1500</v>
      </c>
      <c r="C55" s="71">
        <f t="shared" ref="C55:C62" si="3">SUM(C54,B55)</f>
        <v>37000</v>
      </c>
    </row>
    <row r="56" spans="1:3">
      <c r="A56" s="385">
        <v>46214</v>
      </c>
      <c r="B56" s="352">
        <v>-1500</v>
      </c>
      <c r="C56" s="71">
        <f t="shared" si="3"/>
        <v>35500</v>
      </c>
    </row>
    <row r="57" spans="1:3">
      <c r="A57" s="385">
        <v>46221</v>
      </c>
      <c r="B57" s="352">
        <v>-1500</v>
      </c>
      <c r="C57" s="71">
        <f t="shared" si="3"/>
        <v>34000</v>
      </c>
    </row>
    <row r="58" spans="1:3">
      <c r="A58" s="385">
        <v>46228</v>
      </c>
      <c r="B58" s="352">
        <v>-1500</v>
      </c>
      <c r="C58" s="71">
        <f t="shared" si="3"/>
        <v>32500</v>
      </c>
    </row>
    <row r="59" spans="1:3">
      <c r="A59" s="385">
        <v>46235</v>
      </c>
      <c r="B59" s="352">
        <v>-1500</v>
      </c>
      <c r="C59" s="71">
        <f t="shared" si="3"/>
        <v>31000</v>
      </c>
    </row>
    <row r="60" spans="1:3">
      <c r="A60" s="396">
        <v>46242</v>
      </c>
      <c r="B60" s="352">
        <v>-1500</v>
      </c>
      <c r="C60" s="71">
        <f t="shared" si="3"/>
        <v>29500</v>
      </c>
    </row>
    <row r="61" spans="1:3">
      <c r="A61" s="385">
        <v>46249</v>
      </c>
      <c r="B61" s="352">
        <v>-1500</v>
      </c>
      <c r="C61" s="71">
        <f t="shared" si="3"/>
        <v>28000</v>
      </c>
    </row>
    <row r="62" spans="1:3">
      <c r="A62" s="396">
        <v>46256</v>
      </c>
      <c r="B62" s="352">
        <v>-1500</v>
      </c>
      <c r="C62" s="71">
        <f t="shared" si="3"/>
        <v>26500</v>
      </c>
    </row>
    <row r="63" spans="1:3">
      <c r="A63" s="385">
        <v>46263</v>
      </c>
      <c r="B63" s="352">
        <v>-1500</v>
      </c>
      <c r="C63" s="71">
        <f>SUM(C62,B63)</f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Monthly Income</vt:lpstr>
      <vt:lpstr>Monthly Expenses</vt:lpstr>
      <vt:lpstr>STATEMENT OF LOAN</vt:lpstr>
      <vt:lpstr>'Monthly Income'!Print_Area</vt:lpstr>
      <vt:lpstr>'Monthly Income'!Print_Titles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User</dc:creator>
  <cp:lastModifiedBy>Fe DaSilva</cp:lastModifiedBy>
  <cp:lastPrinted>2024-01-05T19:07:00Z</cp:lastPrinted>
  <dcterms:created xsi:type="dcterms:W3CDTF">2015-09-15T05:58:00Z</dcterms:created>
  <dcterms:modified xsi:type="dcterms:W3CDTF">2026-09-02T01:07:38Z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C8A1B552B1A847B2B3CBFC9C15714B0A_13</vt:lpwstr>
  </property>
</Properties>
</file>